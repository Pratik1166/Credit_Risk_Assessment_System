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rubicon1-my.sharepoint.com/personal/pratik_naigaonkar_rubicon_co_in/Documents/Microsoft Teams Chat Files/"/>
    </mc:Choice>
  </mc:AlternateContent>
  <xr:revisionPtr revIDLastSave="99" documentId="13_ncr:1_{E4159271-E0FF-4217-B7A8-A36F3892F9F0}" xr6:coauthVersionLast="47" xr6:coauthVersionMax="47" xr10:uidLastSave="{05270D4A-D945-4227-B741-D261F00DE4FD}"/>
  <bookViews>
    <workbookView xWindow="-110" yWindow="-110" windowWidth="19420" windowHeight="10300" tabRatio="734" xr2:uid="{317FBCA9-2D3E-40D4-8514-BEFF853A865F}"/>
  </bookViews>
  <sheets>
    <sheet name="Data Entry" sheetId="4" r:id="rId1"/>
    <sheet name="Shortcut Keys" sheetId="5" r:id="rId2"/>
    <sheet name="Advanced_Filter" sheetId="6" r:id="rId3"/>
    <sheet name="Paste Special" sheetId="7" r:id="rId4"/>
    <sheet name="Custome sort" sheetId="8" r:id="rId5"/>
    <sheet name="Freezing" sheetId="9" r:id="rId6"/>
    <sheet name="Trim" sheetId="10" r:id="rId7"/>
    <sheet name="Quick Navigation" sheetId="11" r:id="rId8"/>
    <sheet name="Data formatting" sheetId="2" r:id="rId9"/>
    <sheet name="Data cleaning" sheetId="3" r:id="rId10"/>
    <sheet name="Count" sheetId="12" r:id="rId11"/>
    <sheet name="IF Function" sheetId="13" r:id="rId12"/>
    <sheet name="SUMIF Function" sheetId="14" r:id="rId13"/>
    <sheet name="Sum-Count" sheetId="15" r:id="rId14"/>
    <sheet name="LEFT RIGHT MID Functions" sheetId="16" r:id="rId15"/>
    <sheet name="Textjoin textsplit" sheetId="17" r:id="rId16"/>
    <sheet name="Data list for Dashboard" sheetId="18" r:id="rId17"/>
    <sheet name="Sales Data Pivote" sheetId="19" r:id="rId18"/>
    <sheet name="Array" sheetId="20" r:id="rId19"/>
    <sheet name="ArrayForConversion" sheetId="21" r:id="rId20"/>
    <sheet name="Current Rates" sheetId="22" r:id="rId21"/>
    <sheet name="SecondaryAxis" sheetId="23" r:id="rId22"/>
    <sheet name="Xlookup Emp List" sheetId="24" r:id="rId23"/>
    <sheet name="XLOOKUP" sheetId="25" r:id="rId24"/>
    <sheet name="Date Function" sheetId="26" r:id="rId25"/>
    <sheet name="Advanced IF" sheetId="28" r:id="rId26"/>
    <sheet name="Dashboard data" sheetId="30" r:id="rId27"/>
    <sheet name="Dashboard" sheetId="29" r:id="rId28"/>
  </sheets>
  <externalReferences>
    <externalReference r:id="rId29"/>
    <externalReference r:id="rId30"/>
  </externalReferences>
  <definedNames>
    <definedName name="_xlnm._FilterDatabase" localSheetId="2" hidden="1">Advanced_Filter!$A$21:$E$31</definedName>
    <definedName name="_xlnm._FilterDatabase" localSheetId="4" hidden="1">'Custome sort'!$F$4:$G$8</definedName>
    <definedName name="_xlnm._FilterDatabase" localSheetId="9" hidden="1">'Data cleaning'!$A$1:$O$44</definedName>
    <definedName name="_xlnm._FilterDatabase" localSheetId="8" hidden="1">'Data formatting'!$A$1:$N$44</definedName>
    <definedName name="_xlnm._FilterDatabase" localSheetId="14" hidden="1">'LEFT RIGHT MID Functions'!$A$3:$C$27</definedName>
    <definedName name="_xlnm._FilterDatabase" localSheetId="13" hidden="1">'Sum-Count'!$B$3:$K$30</definedName>
    <definedName name="_xlnm._FilterDatabase" localSheetId="12" hidden="1">'SUMIF Function'!$B$4:$F$4</definedName>
    <definedName name="_xlnm._FilterDatabase" localSheetId="22" hidden="1">'Xlookup Emp List'!$B$1:$I$38</definedName>
    <definedName name="AUD_Price">'[1]Product List'!$D$4:$D$36</definedName>
    <definedName name="CodeLookup">'[2]Current Rates'!$AA$2:$AB$12</definedName>
    <definedName name="_xlnm.Criteria" localSheetId="2">Advanced_Filter!$I$34:$J$36</definedName>
    <definedName name="_xlnm.Criteria" localSheetId="4">'Custome sort'!$B$3</definedName>
    <definedName name="Gross_Margin" localSheetId="24">#REF!</definedName>
    <definedName name="Gross_Margin">#REF!</definedName>
    <definedName name="List" localSheetId="24">#REF!</definedName>
    <definedName name="List">#REF!</definedName>
    <definedName name="NativeTimeline_Date">#N/A</definedName>
    <definedName name="NN">#REF!</definedName>
    <definedName name="Product_Name">'[1]Product List'!$B$4:$B$36</definedName>
    <definedName name="rateCodes">'[2]Current Rates'!$D$4:$D$13</definedName>
    <definedName name="Slicer_Country">#N/A</definedName>
    <definedName name="Slicer_Product">#N/A</definedName>
    <definedName name="solver_eng" localSheetId="25" hidden="1">1</definedName>
    <definedName name="solver_eng" localSheetId="11" hidden="1">1</definedName>
    <definedName name="solver_neg" localSheetId="25" hidden="1">1</definedName>
    <definedName name="solver_neg" localSheetId="11" hidden="1">1</definedName>
    <definedName name="solver_num" localSheetId="25" hidden="1">0</definedName>
    <definedName name="solver_num" localSheetId="11" hidden="1">0</definedName>
    <definedName name="solver_opt" localSheetId="25" hidden="1">'Advanced IF'!$I$7</definedName>
    <definedName name="solver_opt" localSheetId="11" hidden="1">'IF Function'!$I$3</definedName>
    <definedName name="solver_typ" localSheetId="25" hidden="1">1</definedName>
    <definedName name="solver_typ" localSheetId="11" hidden="1">1</definedName>
    <definedName name="solver_val" localSheetId="25" hidden="1">0</definedName>
    <definedName name="solver_val" localSheetId="11" hidden="1">0</definedName>
    <definedName name="solver_ver" localSheetId="25" hidden="1">3</definedName>
    <definedName name="solver_ver" localSheetId="11" hidden="1">3</definedName>
    <definedName name="Year">'[1]Sales Summary'!$A$4:$A$44</definedName>
  </definedNames>
  <calcPr calcId="191028"/>
  <extLst>
    <ext xmlns:x14="http://schemas.microsoft.com/office/spreadsheetml/2009/9/main" uri="{876F7934-8845-4945-9796-88D515C7AA90}">
      <x14:pivotCaches>
        <pivotCache cacheId="0" r:id="rId31"/>
      </x14:pivotCaches>
    </ex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5" l="1"/>
  <c r="I26" i="25"/>
  <c r="J26" i="25"/>
  <c r="K26" i="25"/>
  <c r="L26" i="25"/>
  <c r="M26" i="25"/>
  <c r="C26" i="25"/>
  <c r="D26" i="25"/>
  <c r="E26" i="25"/>
  <c r="F26" i="25"/>
  <c r="G26" i="25"/>
  <c r="H26" i="25"/>
  <c r="B26" i="25"/>
  <c r="M24" i="25"/>
  <c r="L24" i="25"/>
  <c r="K24" i="25"/>
  <c r="J24" i="25"/>
  <c r="I24" i="25"/>
  <c r="H24" i="25"/>
  <c r="G24" i="25"/>
  <c r="F24" i="25"/>
  <c r="E24" i="25"/>
  <c r="D24" i="25"/>
  <c r="C24" i="25"/>
  <c r="B24" i="25"/>
  <c r="E18" i="25"/>
  <c r="E17" i="25"/>
  <c r="E16" i="25"/>
  <c r="E15" i="25"/>
  <c r="E14" i="25"/>
  <c r="E13" i="25"/>
  <c r="E12" i="25"/>
  <c r="E11" i="25"/>
  <c r="E10" i="25"/>
  <c r="E9" i="25"/>
  <c r="E8" i="25"/>
  <c r="E7" i="25"/>
  <c r="E6" i="25"/>
  <c r="E5" i="25"/>
  <c r="E4" i="25"/>
  <c r="E3" i="25"/>
  <c r="J5" i="12"/>
  <c r="J6" i="12"/>
  <c r="J7" i="12"/>
  <c r="J8" i="12"/>
  <c r="J9" i="12"/>
  <c r="J10" i="12"/>
  <c r="J11" i="12"/>
  <c r="J12" i="12"/>
  <c r="J4" i="12"/>
  <c r="I5" i="12"/>
  <c r="I6" i="12"/>
  <c r="I7" i="12"/>
  <c r="I8" i="12"/>
  <c r="I9" i="12"/>
  <c r="I10" i="12"/>
  <c r="I11" i="12"/>
  <c r="I12" i="12"/>
  <c r="I4" i="12"/>
  <c r="G10" i="12"/>
  <c r="G11" i="12"/>
  <c r="B13" i="12"/>
  <c r="M14" i="28"/>
  <c r="K14" i="28"/>
  <c r="J14" i="28"/>
  <c r="H14" i="28"/>
  <c r="G14" i="28"/>
  <c r="M13" i="28"/>
  <c r="K13" i="28"/>
  <c r="J13" i="28"/>
  <c r="H13" i="28"/>
  <c r="G13" i="28"/>
  <c r="M12" i="28"/>
  <c r="K12" i="28"/>
  <c r="J12" i="28"/>
  <c r="H12" i="28"/>
  <c r="G12" i="28"/>
  <c r="M11" i="28"/>
  <c r="K11" i="28"/>
  <c r="J11" i="28"/>
  <c r="H11" i="28"/>
  <c r="G11" i="28"/>
  <c r="M10" i="28"/>
  <c r="K10" i="28"/>
  <c r="J10" i="28"/>
  <c r="H10" i="28"/>
  <c r="G10" i="28"/>
  <c r="B10" i="26" l="1"/>
  <c r="I6" i="26"/>
  <c r="C6" i="26"/>
  <c r="I5" i="26"/>
  <c r="E5" i="26"/>
  <c r="D5" i="26"/>
  <c r="C5" i="26"/>
  <c r="I4" i="26"/>
  <c r="H4" i="26"/>
  <c r="H5" i="26" s="1"/>
  <c r="G4" i="26"/>
  <c r="G5" i="26" s="1"/>
  <c r="F4" i="26"/>
  <c r="F5" i="26" s="1"/>
  <c r="E4" i="26"/>
  <c r="D4" i="26"/>
  <c r="C4" i="26"/>
  <c r="D18" i="25"/>
  <c r="C18" i="25"/>
  <c r="D17" i="25"/>
  <c r="C17" i="25"/>
  <c r="D16" i="25"/>
  <c r="C16" i="25"/>
  <c r="D15" i="25"/>
  <c r="C15" i="25"/>
  <c r="J14" i="25"/>
  <c r="D14" i="25"/>
  <c r="C14" i="25"/>
  <c r="J13" i="25"/>
  <c r="D13" i="25"/>
  <c r="C13" i="25"/>
  <c r="J12" i="25"/>
  <c r="D12" i="25"/>
  <c r="C12" i="25"/>
  <c r="J11" i="25"/>
  <c r="D11" i="25"/>
  <c r="C11" i="25"/>
  <c r="J10" i="25"/>
  <c r="D10" i="25"/>
  <c r="C10" i="25"/>
  <c r="J9" i="25"/>
  <c r="D9" i="25"/>
  <c r="C9" i="25"/>
  <c r="J8" i="25"/>
  <c r="D8" i="25"/>
  <c r="C8" i="25"/>
  <c r="J7" i="25"/>
  <c r="D7" i="25"/>
  <c r="C7" i="25"/>
  <c r="J6" i="25"/>
  <c r="D6" i="25"/>
  <c r="C6" i="25"/>
  <c r="J5" i="25"/>
  <c r="D5" i="25"/>
  <c r="C5" i="25"/>
  <c r="J4" i="25"/>
  <c r="D4" i="25"/>
  <c r="C4" i="25"/>
  <c r="J3" i="25"/>
  <c r="D3" i="25"/>
  <c r="C3" i="25"/>
  <c r="D13" i="22"/>
  <c r="D12" i="22"/>
  <c r="D11" i="22"/>
  <c r="D10" i="22"/>
  <c r="D9" i="22"/>
  <c r="D8" i="22"/>
  <c r="D7" i="22"/>
  <c r="D6" i="22"/>
  <c r="D5" i="22"/>
  <c r="D4" i="22"/>
  <c r="D3" i="22"/>
  <c r="B14" i="21"/>
  <c r="B13" i="21"/>
  <c r="B12" i="21"/>
  <c r="B11" i="21"/>
  <c r="B10" i="21"/>
  <c r="B9" i="21"/>
  <c r="B8" i="21"/>
  <c r="B7" i="21"/>
  <c r="B6" i="21"/>
  <c r="B5" i="21"/>
  <c r="C5" i="20" a="1"/>
  <c r="D11" i="20" s="1"/>
  <c r="L6" i="19"/>
  <c r="K6" i="19"/>
  <c r="L5" i="19"/>
  <c r="K5" i="19"/>
  <c r="L4" i="19"/>
  <c r="K4" i="19"/>
  <c r="L3" i="19"/>
  <c r="K3" i="19"/>
  <c r="L2" i="19"/>
  <c r="K2" i="19"/>
  <c r="C10" i="21" l="1" a="1"/>
  <c r="C10" i="21" s="1"/>
  <c r="C6" i="21" a="1"/>
  <c r="C6" i="21" s="1"/>
  <c r="C11" i="21" a="1"/>
  <c r="C11" i="21" s="1"/>
  <c r="C12" i="21" a="1"/>
  <c r="C12" i="21" s="1"/>
  <c r="C4" i="21" a="1"/>
  <c r="C4" i="21" s="1"/>
  <c r="C13" i="21" a="1"/>
  <c r="C13" i="21" s="1"/>
  <c r="C14" i="21" a="1"/>
  <c r="C14" i="21" s="1"/>
  <c r="C7" i="21" a="1"/>
  <c r="C7" i="21" s="1"/>
  <c r="H5" i="20"/>
  <c r="I6" i="20"/>
  <c r="C8" i="20"/>
  <c r="D9" i="20"/>
  <c r="E10" i="20"/>
  <c r="F11" i="20"/>
  <c r="I5" i="20"/>
  <c r="C7" i="20"/>
  <c r="D8" i="20"/>
  <c r="E9" i="20"/>
  <c r="F10" i="20"/>
  <c r="G11" i="20"/>
  <c r="C5" i="21" a="1"/>
  <c r="C5" i="21" s="1"/>
  <c r="G5" i="20"/>
  <c r="H6" i="20"/>
  <c r="I7" i="20"/>
  <c r="C9" i="20"/>
  <c r="D10" i="20"/>
  <c r="E11" i="20"/>
  <c r="C8" i="21" a="1"/>
  <c r="C8" i="21" s="1"/>
  <c r="D6" i="20"/>
  <c r="E7" i="20"/>
  <c r="G9" i="20"/>
  <c r="I11" i="20"/>
  <c r="D5" i="20"/>
  <c r="E6" i="20"/>
  <c r="F7" i="20"/>
  <c r="G8" i="20"/>
  <c r="H9" i="20"/>
  <c r="I10" i="20"/>
  <c r="C3" i="21" a="1"/>
  <c r="C3" i="21" s="1"/>
  <c r="E5" i="20"/>
  <c r="F6" i="20"/>
  <c r="G7" i="20"/>
  <c r="H8" i="20"/>
  <c r="I9" i="20"/>
  <c r="C11" i="20"/>
  <c r="C9" i="21" a="1"/>
  <c r="C9" i="21" s="1"/>
  <c r="C6" i="20"/>
  <c r="D7" i="20"/>
  <c r="E8" i="20"/>
  <c r="F9" i="20"/>
  <c r="G10" i="20"/>
  <c r="H11" i="20"/>
  <c r="C5" i="20"/>
  <c r="F8" i="20"/>
  <c r="H10" i="20"/>
  <c r="F5" i="20"/>
  <c r="G6" i="20"/>
  <c r="H7" i="20"/>
  <c r="I8" i="20"/>
  <c r="C10" i="20"/>
  <c r="E50" i="17" l="1" a="1"/>
  <c r="E50" i="17" s="1"/>
  <c r="E48" i="17" a="1"/>
  <c r="E48" i="17" s="1"/>
  <c r="F34" i="17" a="1"/>
  <c r="F34" i="17" s="1"/>
  <c r="E34" i="17" a="1"/>
  <c r="E34" i="17" s="1"/>
  <c r="C29" i="17"/>
  <c r="F21" i="17"/>
  <c r="E21" i="17"/>
  <c r="F20" i="17"/>
  <c r="E20" i="17"/>
  <c r="F19" i="17"/>
  <c r="E19" i="17"/>
  <c r="F18" i="17"/>
  <c r="E18" i="17"/>
  <c r="F17" i="17"/>
  <c r="E17" i="17"/>
  <c r="F16" i="17"/>
  <c r="E16" i="17"/>
  <c r="F15" i="17"/>
  <c r="E15" i="17"/>
  <c r="F14" i="17"/>
  <c r="E14" i="17"/>
  <c r="F13" i="17"/>
  <c r="E13" i="17"/>
  <c r="F12" i="17"/>
  <c r="E12" i="17"/>
  <c r="I11" i="17" a="1"/>
  <c r="I11" i="17" s="1"/>
  <c r="F11" i="17"/>
  <c r="E11" i="17"/>
  <c r="J10" i="17" a="1"/>
  <c r="J10" i="17" s="1"/>
  <c r="F10" i="17"/>
  <c r="E10" i="17"/>
  <c r="F9" i="17"/>
  <c r="E9" i="17"/>
  <c r="F8" i="17"/>
  <c r="E8" i="17"/>
  <c r="F7" i="17"/>
  <c r="E7" i="17"/>
  <c r="G6" i="17"/>
  <c r="F6" i="17"/>
  <c r="E6" i="17"/>
  <c r="J27" i="16"/>
  <c r="I27" i="16"/>
  <c r="H27" i="16"/>
  <c r="G27" i="16"/>
  <c r="F27" i="16"/>
  <c r="E27" i="16"/>
  <c r="J26" i="16"/>
  <c r="I26" i="16"/>
  <c r="H26" i="16"/>
  <c r="G26" i="16"/>
  <c r="F26" i="16"/>
  <c r="E26" i="16"/>
  <c r="J25" i="16"/>
  <c r="I25" i="16"/>
  <c r="H25" i="16"/>
  <c r="G25" i="16"/>
  <c r="F25" i="16"/>
  <c r="E25" i="16"/>
  <c r="J24" i="16"/>
  <c r="I24" i="16"/>
  <c r="H24" i="16"/>
  <c r="G24" i="16"/>
  <c r="F24" i="16"/>
  <c r="E24" i="16"/>
  <c r="J23" i="16"/>
  <c r="I23" i="16"/>
  <c r="H23" i="16"/>
  <c r="G23" i="16"/>
  <c r="F23" i="16"/>
  <c r="E23" i="16"/>
  <c r="J22" i="16"/>
  <c r="I22" i="16"/>
  <c r="H22" i="16"/>
  <c r="G22" i="16"/>
  <c r="F22" i="16"/>
  <c r="E22" i="16"/>
  <c r="J21" i="16"/>
  <c r="I21" i="16"/>
  <c r="H21" i="16"/>
  <c r="G21" i="16"/>
  <c r="F21" i="16"/>
  <c r="E21" i="16"/>
  <c r="J20" i="16"/>
  <c r="I20" i="16"/>
  <c r="H20" i="16"/>
  <c r="G20" i="16"/>
  <c r="F20" i="16"/>
  <c r="E20" i="16"/>
  <c r="J19" i="16"/>
  <c r="I19" i="16"/>
  <c r="H19" i="16"/>
  <c r="G19" i="16"/>
  <c r="F19" i="16"/>
  <c r="E19" i="16"/>
  <c r="J18" i="16"/>
  <c r="I18" i="16"/>
  <c r="H18" i="16"/>
  <c r="G18" i="16"/>
  <c r="F18" i="16"/>
  <c r="E18" i="16"/>
  <c r="J17" i="16"/>
  <c r="I17" i="16"/>
  <c r="H17" i="16"/>
  <c r="G17" i="16"/>
  <c r="F17" i="16"/>
  <c r="E17" i="16"/>
  <c r="J16" i="16"/>
  <c r="I16" i="16"/>
  <c r="H16" i="16"/>
  <c r="G16" i="16"/>
  <c r="F16" i="16"/>
  <c r="E16" i="16"/>
  <c r="J15" i="16"/>
  <c r="I15" i="16"/>
  <c r="H15" i="16"/>
  <c r="G15" i="16"/>
  <c r="F15" i="16"/>
  <c r="E15" i="16"/>
  <c r="J14" i="16"/>
  <c r="I14" i="16"/>
  <c r="H14" i="16"/>
  <c r="G14" i="16"/>
  <c r="F14" i="16"/>
  <c r="E14" i="16"/>
  <c r="J13" i="16"/>
  <c r="I13" i="16"/>
  <c r="H13" i="16"/>
  <c r="G13" i="16"/>
  <c r="F13" i="16"/>
  <c r="E13" i="16"/>
  <c r="J12" i="16"/>
  <c r="I12" i="16"/>
  <c r="H12" i="16"/>
  <c r="G12" i="16"/>
  <c r="F12" i="16"/>
  <c r="E12" i="16"/>
  <c r="J11" i="16"/>
  <c r="I11" i="16"/>
  <c r="H11" i="16"/>
  <c r="G11" i="16"/>
  <c r="F11" i="16"/>
  <c r="E11" i="16"/>
  <c r="J10" i="16"/>
  <c r="I10" i="16"/>
  <c r="H10" i="16"/>
  <c r="G10" i="16"/>
  <c r="F10" i="16"/>
  <c r="E10" i="16"/>
  <c r="J9" i="16"/>
  <c r="I9" i="16"/>
  <c r="H9" i="16"/>
  <c r="G9" i="16"/>
  <c r="F9" i="16"/>
  <c r="E9" i="16"/>
  <c r="J8" i="16"/>
  <c r="I8" i="16"/>
  <c r="H8" i="16"/>
  <c r="G8" i="16"/>
  <c r="F8" i="16"/>
  <c r="E8" i="16"/>
  <c r="J7" i="16"/>
  <c r="I7" i="16"/>
  <c r="H7" i="16"/>
  <c r="G7" i="16"/>
  <c r="F7" i="16"/>
  <c r="E7" i="16"/>
  <c r="J6" i="16"/>
  <c r="I6" i="16"/>
  <c r="H6" i="16"/>
  <c r="G6" i="16"/>
  <c r="F6" i="16"/>
  <c r="E6" i="16"/>
  <c r="J5" i="16"/>
  <c r="I5" i="16"/>
  <c r="H5" i="16"/>
  <c r="G5" i="16"/>
  <c r="F5" i="16"/>
  <c r="E5" i="16"/>
  <c r="J4" i="16"/>
  <c r="I4" i="16"/>
  <c r="H4" i="16"/>
  <c r="G4" i="16"/>
  <c r="F4" i="16"/>
  <c r="E4" i="16"/>
  <c r="G29" i="15"/>
  <c r="G28" i="15"/>
  <c r="G27" i="15"/>
  <c r="F27" i="15"/>
  <c r="G26" i="15"/>
  <c r="F26" i="15"/>
  <c r="G25" i="15"/>
  <c r="G21" i="15"/>
  <c r="H18" i="15"/>
  <c r="F18" i="15"/>
  <c r="F19" i="15" s="1"/>
  <c r="F17" i="15"/>
  <c r="G17" i="15" s="1"/>
  <c r="F16" i="15"/>
  <c r="G16" i="15" s="1"/>
  <c r="G15" i="15"/>
  <c r="F14" i="15"/>
  <c r="G14" i="15" s="1"/>
  <c r="F13" i="15"/>
  <c r="G13" i="15" s="1"/>
  <c r="G12" i="15"/>
  <c r="K9" i="15"/>
  <c r="F9" i="15"/>
  <c r="F10" i="15" s="1"/>
  <c r="G8" i="15"/>
  <c r="F5" i="15"/>
  <c r="F6" i="15" s="1"/>
  <c r="K4" i="15"/>
  <c r="G4" i="15"/>
  <c r="F4" i="15"/>
  <c r="E274" i="14"/>
  <c r="E273" i="14"/>
  <c r="E272" i="14"/>
  <c r="E271" i="14"/>
  <c r="E270" i="14"/>
  <c r="E269" i="14"/>
  <c r="E268" i="14"/>
  <c r="E267" i="14"/>
  <c r="E266" i="14"/>
  <c r="E265" i="14"/>
  <c r="E264" i="14"/>
  <c r="E263" i="14"/>
  <c r="E262" i="14"/>
  <c r="E261" i="14"/>
  <c r="E260" i="14"/>
  <c r="E259" i="14"/>
  <c r="E258" i="14"/>
  <c r="E257" i="14"/>
  <c r="E256" i="14"/>
  <c r="E255" i="14"/>
  <c r="E254" i="14"/>
  <c r="E253" i="14"/>
  <c r="E252" i="14"/>
  <c r="E251" i="14"/>
  <c r="E250" i="14"/>
  <c r="E249" i="14"/>
  <c r="E248" i="14"/>
  <c r="E247" i="14"/>
  <c r="E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I20" i="14"/>
  <c r="E20" i="14"/>
  <c r="E19" i="14"/>
  <c r="H18" i="14"/>
  <c r="E18" i="14"/>
  <c r="J7" i="14" s="1"/>
  <c r="H17" i="14"/>
  <c r="E17" i="14"/>
  <c r="H16" i="14"/>
  <c r="E16" i="14"/>
  <c r="H15" i="14"/>
  <c r="E15" i="14"/>
  <c r="J5" i="14" s="1"/>
  <c r="H14" i="14"/>
  <c r="E14" i="14"/>
  <c r="H13" i="14"/>
  <c r="E13" i="14"/>
  <c r="H12" i="14"/>
  <c r="E12" i="14"/>
  <c r="H11" i="14"/>
  <c r="E11" i="14"/>
  <c r="H10" i="14"/>
  <c r="E10" i="14"/>
  <c r="E9" i="14"/>
  <c r="E8" i="14"/>
  <c r="I7" i="14"/>
  <c r="E7" i="14"/>
  <c r="E6" i="14"/>
  <c r="I5" i="14"/>
  <c r="E5" i="14"/>
  <c r="E11" i="13"/>
  <c r="D11" i="13"/>
  <c r="C11" i="13"/>
  <c r="B11" i="13"/>
  <c r="F10" i="13"/>
  <c r="H10" i="13" s="1"/>
  <c r="I10" i="13" s="1" a="1"/>
  <c r="I10" i="13" s="1"/>
  <c r="H9" i="13"/>
  <c r="I9" i="13" s="1" a="1"/>
  <c r="I9" i="13" s="1"/>
  <c r="F9" i="13"/>
  <c r="F8" i="13"/>
  <c r="H8" i="13" s="1"/>
  <c r="I8" i="13" s="1" a="1"/>
  <c r="I8" i="13" s="1"/>
  <c r="H7" i="13"/>
  <c r="I7" i="13" s="1" a="1"/>
  <c r="I7" i="13" s="1"/>
  <c r="F7" i="13"/>
  <c r="F6" i="13"/>
  <c r="H6" i="13" s="1"/>
  <c r="F13" i="12"/>
  <c r="E13" i="12"/>
  <c r="D13" i="12"/>
  <c r="C13" i="12"/>
  <c r="H12" i="12"/>
  <c r="G12" i="12"/>
  <c r="H11" i="12"/>
  <c r="H10" i="12"/>
  <c r="H9" i="12"/>
  <c r="G9" i="12"/>
  <c r="H8" i="12"/>
  <c r="G8" i="12"/>
  <c r="H7" i="12"/>
  <c r="G7" i="12"/>
  <c r="H6" i="12"/>
  <c r="G6" i="12"/>
  <c r="H5" i="12"/>
  <c r="G5" i="12"/>
  <c r="H4" i="12"/>
  <c r="G4" i="12"/>
  <c r="H15" i="10"/>
  <c r="G15" i="10"/>
  <c r="F15" i="10"/>
  <c r="E15" i="10"/>
  <c r="D15" i="10"/>
  <c r="E14" i="10"/>
  <c r="D14" i="10"/>
  <c r="H13" i="10"/>
  <c r="H14" i="10" s="1"/>
  <c r="G13" i="10"/>
  <c r="G14" i="10" s="1"/>
  <c r="F13" i="10"/>
  <c r="F14" i="10" s="1"/>
  <c r="E13" i="10"/>
  <c r="D13" i="10"/>
  <c r="E8" i="10"/>
  <c r="C8" i="10"/>
  <c r="D8" i="10" s="1"/>
  <c r="E7" i="10"/>
  <c r="C7" i="10"/>
  <c r="D7" i="10" s="1"/>
  <c r="E6" i="10"/>
  <c r="C6" i="10"/>
  <c r="D6" i="10" s="1"/>
  <c r="E5" i="10"/>
  <c r="C5" i="10"/>
  <c r="D5" i="10" s="1"/>
  <c r="D4" i="10"/>
  <c r="C4" i="10"/>
  <c r="F11" i="15" l="1"/>
  <c r="G11" i="15" s="1"/>
  <c r="G10" i="15"/>
  <c r="K14" i="15"/>
  <c r="F20" i="15"/>
  <c r="G20" i="15" s="1"/>
  <c r="G19" i="15"/>
  <c r="I6" i="13" a="1"/>
  <c r="I6" i="13" s="1"/>
  <c r="F13" i="13"/>
  <c r="F7" i="15"/>
  <c r="G6" i="15"/>
  <c r="F11" i="13"/>
  <c r="G5" i="15"/>
  <c r="G9" i="15"/>
  <c r="G18" i="15"/>
  <c r="F22" i="15" l="1"/>
  <c r="G7" i="15"/>
  <c r="F23" i="15" l="1"/>
  <c r="G22" i="15"/>
  <c r="G23" i="15" l="1"/>
  <c r="F24" i="15"/>
  <c r="G24" i="15" s="1"/>
  <c r="K5" i="15"/>
  <c r="G30"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Gharani Leila (AT, Wien)</author>
  </authors>
  <commentList>
    <comment ref="C20" authorId="0" shapeId="0" xr:uid="{F25698EE-4BCD-4419-B068-703D5D647997}">
      <text>
        <r>
          <rPr>
            <b/>
            <sz val="9"/>
            <color indexed="81"/>
            <rFont val="Tahoma"/>
            <family val="2"/>
          </rPr>
          <t>Was a great month</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<sst xmlns="http://schemas.openxmlformats.org/spreadsheetml/2006/main" count="3061" uniqueCount="679">
  <si>
    <t>Data entry rules</t>
  </si>
  <si>
    <t>One cell should represent only one entry</t>
  </si>
  <si>
    <t>Eg.</t>
  </si>
  <si>
    <t>Product Name</t>
  </si>
  <si>
    <t>Dosage Form</t>
  </si>
  <si>
    <t>Pack Type</t>
  </si>
  <si>
    <t xml:space="preserve">Naloxone </t>
  </si>
  <si>
    <t>Nasal Spray</t>
  </si>
  <si>
    <t>Diazepam</t>
  </si>
  <si>
    <t>2,6</t>
  </si>
  <si>
    <t>In Numerical entry, the data is always right aligned, it should be separated with commas and if it a currency then provide an appropriate symbol</t>
  </si>
  <si>
    <t>The Non-numeric data is always right alinged and it should always be in Title format ie the first word should be in Title format, and should be similar throughout the sheet</t>
  </si>
  <si>
    <t xml:space="preserve">Eg. </t>
  </si>
  <si>
    <t>Name</t>
  </si>
  <si>
    <t>Strength</t>
  </si>
  <si>
    <t>Paracetamol</t>
  </si>
  <si>
    <t>100mg</t>
  </si>
  <si>
    <t>paracetamol</t>
  </si>
  <si>
    <t>100 mg</t>
  </si>
  <si>
    <t>Ibuprofin</t>
  </si>
  <si>
    <t>150Mg</t>
  </si>
  <si>
    <t>ibuprofin</t>
  </si>
  <si>
    <t>150MG</t>
  </si>
  <si>
    <t>150 mg/mL</t>
  </si>
  <si>
    <t xml:space="preserve">The header for each column should be well speficied  </t>
  </si>
  <si>
    <t>Product</t>
  </si>
  <si>
    <t>Sale</t>
  </si>
  <si>
    <t>Value</t>
  </si>
  <si>
    <t>It is always preferable to enter the data in chronological order</t>
  </si>
  <si>
    <t>While refering the cell or any formula never hardcore the cell</t>
  </si>
  <si>
    <t>Never ever merge the cells. Only in rare cases where you have present data in ppt format or doc format</t>
  </si>
  <si>
    <t xml:space="preserve">Select all </t>
  </si>
  <si>
    <t>Ctrl + A </t>
  </si>
  <si>
    <t xml:space="preserve">Select the whole column </t>
  </si>
  <si>
    <t>Ctrl + Space </t>
  </si>
  <si>
    <t xml:space="preserve">Select the whole row </t>
  </si>
  <si>
    <t>Shift + Space </t>
  </si>
  <si>
    <t xml:space="preserve">Select the whole range </t>
  </si>
  <si>
    <t>Ctrl + Shift + Space </t>
  </si>
  <si>
    <t>Select until last non-empty cell  </t>
  </si>
  <si>
    <t>Ctrl + Shift + Arrow keys</t>
  </si>
  <si>
    <t xml:space="preserve">Go the end of the range </t>
  </si>
  <si>
    <t>Ctrl + Arrow keys </t>
  </si>
  <si>
    <t xml:space="preserve">Delete cells/rows/columns </t>
  </si>
  <si>
    <t>Ctrl + minus</t>
  </si>
  <si>
    <t xml:space="preserve">Add cells/rows/columns </t>
  </si>
  <si>
    <t>Shift+Control++</t>
  </si>
  <si>
    <t>Filter</t>
  </si>
  <si>
    <t>Shift +Control+L</t>
  </si>
  <si>
    <t>Find</t>
  </si>
  <si>
    <t>Ctrl + F </t>
  </si>
  <si>
    <t xml:space="preserve">Find and replace </t>
  </si>
  <si>
    <t>Ctrl + H </t>
  </si>
  <si>
    <t xml:space="preserve">Edit Cell </t>
  </si>
  <si>
    <t>F2</t>
  </si>
  <si>
    <t xml:space="preserve">Navigate between sheets </t>
  </si>
  <si>
    <t>Ctrl + PgUp/PgDn </t>
  </si>
  <si>
    <t xml:space="preserve">Undo last action </t>
  </si>
  <si>
    <t>Ctrl + Z </t>
  </si>
  <si>
    <t xml:space="preserve">Redo (reverses ctrl + z) </t>
  </si>
  <si>
    <t>Ctrl + Y </t>
  </si>
  <si>
    <t>Permanent Delete</t>
  </si>
  <si>
    <t>Ctrl + Delete</t>
  </si>
  <si>
    <t>To decrease the window size</t>
  </si>
  <si>
    <t>Window+right arrow</t>
  </si>
  <si>
    <t>To enter in the same cell one after the other</t>
  </si>
  <si>
    <t>alt + enter</t>
  </si>
  <si>
    <t>View the shortcut keys for the panes</t>
  </si>
  <si>
    <t xml:space="preserve">Alt   </t>
  </si>
  <si>
    <t>Formula to covert numerical data in millions</t>
  </si>
  <si>
    <t xml:space="preserve">[&gt;=1000000] ###\,###\,##0;[&gt;=100000] ###\,##0; ##,##0    </t>
  </si>
  <si>
    <t>Code</t>
  </si>
  <si>
    <t>Category</t>
  </si>
  <si>
    <t>Last Order</t>
  </si>
  <si>
    <t>Discontinued</t>
  </si>
  <si>
    <t>Oranges</t>
  </si>
  <si>
    <t>Fruit</t>
  </si>
  <si>
    <t>No</t>
  </si>
  <si>
    <t>Drinks</t>
  </si>
  <si>
    <t>&gt;03-08-2012</t>
  </si>
  <si>
    <t>Tea</t>
  </si>
  <si>
    <t>Kiwi juice</t>
  </si>
  <si>
    <t>Yes</t>
  </si>
  <si>
    <t>Olive oil</t>
  </si>
  <si>
    <t>Oil</t>
  </si>
  <si>
    <t>Coffee</t>
  </si>
  <si>
    <t>Dried Pears</t>
  </si>
  <si>
    <t>Apples</t>
  </si>
  <si>
    <t>Cottonseed</t>
  </si>
  <si>
    <t>May be</t>
  </si>
  <si>
    <t>Paste special options</t>
  </si>
  <si>
    <t>1. Copy and paste the following in cell F16 as transpose</t>
  </si>
  <si>
    <t>Jan</t>
  </si>
  <si>
    <t>Feb</t>
  </si>
  <si>
    <t>Mar</t>
  </si>
  <si>
    <t>Apr</t>
  </si>
  <si>
    <t>2. Copy and paste the formatting of the below in cell F23</t>
  </si>
  <si>
    <t>3. Copy the comment only and paste in cell F31</t>
  </si>
  <si>
    <t>4. Copy the following and paste as link in cell E26</t>
  </si>
  <si>
    <t>5. Use the multiply, add, subtract operations - How do they work?</t>
  </si>
  <si>
    <t>Custome sort the following data based on the chronological order</t>
  </si>
  <si>
    <t>Registration Date</t>
  </si>
  <si>
    <t>ID</t>
  </si>
  <si>
    <t>Day</t>
  </si>
  <si>
    <t>Sale per day</t>
  </si>
  <si>
    <t>Mon</t>
  </si>
  <si>
    <t>Tue</t>
  </si>
  <si>
    <t>Thu</t>
  </si>
  <si>
    <t>Fri</t>
  </si>
  <si>
    <t>OrderID</t>
  </si>
  <si>
    <t>Item</t>
  </si>
  <si>
    <t>Year</t>
  </si>
  <si>
    <t>Month</t>
  </si>
  <si>
    <t>Region</t>
  </si>
  <si>
    <t>Rep</t>
  </si>
  <si>
    <t>Units</t>
  </si>
  <si>
    <t>ASP</t>
  </si>
  <si>
    <t>Sales (Rs)</t>
  </si>
  <si>
    <t>Cost (Rs)</t>
  </si>
  <si>
    <t>Pencil</t>
  </si>
  <si>
    <t>East</t>
  </si>
  <si>
    <t>Jones</t>
  </si>
  <si>
    <t>1. Freeze the header</t>
  </si>
  <si>
    <t>Binder</t>
  </si>
  <si>
    <t>Central</t>
  </si>
  <si>
    <t>Kivell</t>
  </si>
  <si>
    <t>2. Freeze header and the orderID column</t>
  </si>
  <si>
    <t>Jardine</t>
  </si>
  <si>
    <t>3. Freeze header, orderID and item column</t>
  </si>
  <si>
    <t>Pen</t>
  </si>
  <si>
    <t>Gill</t>
  </si>
  <si>
    <t>May</t>
  </si>
  <si>
    <t>West</t>
  </si>
  <si>
    <t>Sorvino</t>
  </si>
  <si>
    <t>Jun</t>
  </si>
  <si>
    <t>Jul</t>
  </si>
  <si>
    <t>Andrews</t>
  </si>
  <si>
    <t>Aug</t>
  </si>
  <si>
    <t>Sep</t>
  </si>
  <si>
    <t>Thompson</t>
  </si>
  <si>
    <t>Oct</t>
  </si>
  <si>
    <t>Nov</t>
  </si>
  <si>
    <t>Morgan</t>
  </si>
  <si>
    <t>Dec</t>
  </si>
  <si>
    <t>Howard</t>
  </si>
  <si>
    <t>Parent</t>
  </si>
  <si>
    <t>Desk</t>
  </si>
  <si>
    <t>Smith</t>
  </si>
  <si>
    <t>Pen Set</t>
  </si>
  <si>
    <t>Remove the extra space in following name column</t>
  </si>
  <si>
    <t>Proper</t>
  </si>
  <si>
    <t>Trim</t>
  </si>
  <si>
    <t>Meena      raut</t>
  </si>
  <si>
    <t xml:space="preserve">      Jay  Naik</t>
  </si>
  <si>
    <t xml:space="preserve"> Satish  Desai</t>
  </si>
  <si>
    <t>Teena     Pinto</t>
  </si>
  <si>
    <t>Odellia  Ribello</t>
  </si>
  <si>
    <t>Quickly Navigate Larger Files</t>
  </si>
  <si>
    <t>Name box</t>
  </si>
  <si>
    <t>1. Use the name box to jump to cell AB99 - What is in that cell?</t>
  </si>
  <si>
    <t>2. Use the name box to jump to row200 column 200 - What is here?</t>
  </si>
  <si>
    <t>3. Provide a name of your liking to cell A12 in this sheet. Go to the Index tab. Use the name box to jump to cell A12 in T3 (To the cell you just provided a name for).</t>
  </si>
  <si>
    <t>Color tab</t>
  </si>
  <si>
    <t>1. Change the color of this tab to the color of your liking</t>
  </si>
  <si>
    <t>2. Use the tab menu to navigate to "F3" tab</t>
  </si>
  <si>
    <t>Arrange worksheets</t>
  </si>
  <si>
    <t>You need to work with tab "T2" and "T3" simultaneously. Arrange them in the same window</t>
  </si>
  <si>
    <t>Hi</t>
  </si>
  <si>
    <t>Hello</t>
  </si>
  <si>
    <t>Sr No</t>
  </si>
  <si>
    <t xml:space="preserve">Strength </t>
  </si>
  <si>
    <t xml:space="preserve">Dosage form </t>
  </si>
  <si>
    <t>Pack type</t>
  </si>
  <si>
    <t>Site of manufacturing</t>
  </si>
  <si>
    <t>Filing Date</t>
  </si>
  <si>
    <t xml:space="preserve">Country </t>
  </si>
  <si>
    <t>Status</t>
  </si>
  <si>
    <t>Satge</t>
  </si>
  <si>
    <t>Year 1 Sale</t>
  </si>
  <si>
    <t>Year 2 Sale</t>
  </si>
  <si>
    <t xml:space="preserve">Year 3 sale </t>
  </si>
  <si>
    <t>Year 4 sale</t>
  </si>
  <si>
    <t xml:space="preserve">Levofloxacin </t>
  </si>
  <si>
    <t>5 ml</t>
  </si>
  <si>
    <t>Eye Drop</t>
  </si>
  <si>
    <t>bottle</t>
  </si>
  <si>
    <t>Canada.</t>
  </si>
  <si>
    <t>US</t>
  </si>
  <si>
    <t>Active</t>
  </si>
  <si>
    <t xml:space="preserve">Dorzolamide + Timolol </t>
  </si>
  <si>
    <t>10 ml</t>
  </si>
  <si>
    <t>Ambernath</t>
  </si>
  <si>
    <t>Desvenlaflaxine ER</t>
  </si>
  <si>
    <t>50mg</t>
  </si>
  <si>
    <t>Tablets</t>
  </si>
  <si>
    <t>Bottles</t>
  </si>
  <si>
    <t>Tablet</t>
  </si>
  <si>
    <t>Bottle</t>
  </si>
  <si>
    <t>Europe</t>
  </si>
  <si>
    <t>Lamotrigine ER</t>
  </si>
  <si>
    <t>25 mg</t>
  </si>
  <si>
    <t>Canada</t>
  </si>
  <si>
    <t>China</t>
  </si>
  <si>
    <t xml:space="preserve">100 mg </t>
  </si>
  <si>
    <t>200 mg</t>
  </si>
  <si>
    <t>Buspirone HCl</t>
  </si>
  <si>
    <t>5mg</t>
  </si>
  <si>
    <t>21st Jan 25</t>
  </si>
  <si>
    <t>Germany</t>
  </si>
  <si>
    <t>10 mg</t>
  </si>
  <si>
    <t>Sildenafil Citrate</t>
  </si>
  <si>
    <t>Blister</t>
  </si>
  <si>
    <t>sildenafil Citrate</t>
  </si>
  <si>
    <t>Rabeprazole Sodium DR</t>
  </si>
  <si>
    <t>20 mg</t>
  </si>
  <si>
    <t>Diclofenac Potassium</t>
  </si>
  <si>
    <t>Pantoprazol</t>
  </si>
  <si>
    <t>40 mg</t>
  </si>
  <si>
    <t>Lamotrigine IR</t>
  </si>
  <si>
    <t>Metolazone</t>
  </si>
  <si>
    <t>2.5 mg</t>
  </si>
  <si>
    <t>5 mg</t>
  </si>
  <si>
    <t>Nitroglycerine</t>
  </si>
  <si>
    <t>0.3 mg</t>
  </si>
  <si>
    <t>0.4 mg</t>
  </si>
  <si>
    <t>0.6 mg</t>
  </si>
  <si>
    <t>Potassium Chloride</t>
  </si>
  <si>
    <t>20MEQ/15mg</t>
  </si>
  <si>
    <t>Solution</t>
  </si>
  <si>
    <t>Potassium Cl</t>
  </si>
  <si>
    <t>40MEQ/15mg</t>
  </si>
  <si>
    <t>Nordic</t>
  </si>
  <si>
    <t>Labetalol Hydrochloride</t>
  </si>
  <si>
    <t>Labetalol HCl</t>
  </si>
  <si>
    <t>Amiodarone HCl</t>
  </si>
  <si>
    <t>MEA</t>
  </si>
  <si>
    <t>50 mg</t>
  </si>
  <si>
    <t>Blisters</t>
  </si>
  <si>
    <t>Metoprolol Tartrate</t>
  </si>
  <si>
    <t>tablet</t>
  </si>
  <si>
    <t>21st Oct 25</t>
  </si>
  <si>
    <t xml:space="preserve">Rabeprazole Sodium </t>
  </si>
  <si>
    <t>UK</t>
  </si>
  <si>
    <t xml:space="preserve">Loratadine </t>
  </si>
  <si>
    <t xml:space="preserve">Fluoxetine Hydrochloride </t>
  </si>
  <si>
    <t>20 mg/5 ml</t>
  </si>
  <si>
    <t>Ibuprofen and Paracetamol</t>
  </si>
  <si>
    <t>100 mg + 162.5 mg [60/100 ml]</t>
  </si>
  <si>
    <t>Suspension</t>
  </si>
  <si>
    <t>100 mg /5 ml [20/100/200/500 ml]</t>
  </si>
  <si>
    <t>Nicotin</t>
  </si>
  <si>
    <t>2 mg</t>
  </si>
  <si>
    <t>4 mg</t>
  </si>
  <si>
    <t>19th Nov 25</t>
  </si>
  <si>
    <t>100MG</t>
  </si>
  <si>
    <t>USA</t>
  </si>
  <si>
    <t>L</t>
  </si>
  <si>
    <t>Eye Drops</t>
  </si>
  <si>
    <t/>
  </si>
  <si>
    <t xml:space="preserve">100 mg + 162.5 mg </t>
  </si>
  <si>
    <t xml:space="preserve">100 mg /5 ml </t>
  </si>
  <si>
    <t>Count Function</t>
  </si>
  <si>
    <t>Countif</t>
  </si>
  <si>
    <t>Countifs</t>
  </si>
  <si>
    <t>oranges</t>
  </si>
  <si>
    <t>Count</t>
  </si>
  <si>
    <t>CountA</t>
  </si>
  <si>
    <t>CountBlank</t>
  </si>
  <si>
    <t>IF Function</t>
  </si>
  <si>
    <t>Sales Figures - December 2020</t>
  </si>
  <si>
    <t>Monthly Goal:</t>
  </si>
  <si>
    <t>Sales Person</t>
  </si>
  <si>
    <t>Week 1</t>
  </si>
  <si>
    <t>Week 2</t>
  </si>
  <si>
    <t>Week 3</t>
  </si>
  <si>
    <t>Week 4</t>
  </si>
  <si>
    <t>Totals</t>
  </si>
  <si>
    <t>Was Goal Met?</t>
  </si>
  <si>
    <t>Bonus Status</t>
  </si>
  <si>
    <t>H. James</t>
  </si>
  <si>
    <t>[Bonus applicable only if Goal is Met, and per week revenue is more than 8000]</t>
  </si>
  <si>
    <t>K. Dunn</t>
  </si>
  <si>
    <t>L. Carrie</t>
  </si>
  <si>
    <t>R. Smith</t>
  </si>
  <si>
    <t>D. O'Brian</t>
  </si>
  <si>
    <t>Weekly Total</t>
  </si>
  <si>
    <t>Current number of sales people who haved reached their goal:</t>
  </si>
  <si>
    <t>SUMIF Function</t>
  </si>
  <si>
    <t>Store #</t>
  </si>
  <si>
    <t>SKU</t>
  </si>
  <si>
    <t>Sales</t>
  </si>
  <si>
    <t>Total Units</t>
  </si>
  <si>
    <t>Total Sales</t>
  </si>
  <si>
    <t>JAN</t>
  </si>
  <si>
    <t>E0028M</t>
  </si>
  <si>
    <t>SKU #</t>
  </si>
  <si>
    <t>E0032M</t>
  </si>
  <si>
    <t>E0030M</t>
  </si>
  <si>
    <t>SUB-TOTAL</t>
  </si>
  <si>
    <t>E0034M</t>
  </si>
  <si>
    <t>E0036M</t>
  </si>
  <si>
    <t>FEB</t>
  </si>
  <si>
    <t>MAR</t>
  </si>
  <si>
    <t>B0028M</t>
  </si>
  <si>
    <t>B0030M</t>
  </si>
  <si>
    <t>B0032M</t>
  </si>
  <si>
    <t>B0034M</t>
  </si>
  <si>
    <t>B0036M</t>
  </si>
  <si>
    <t>C0028M</t>
  </si>
  <si>
    <t>C0030M</t>
  </si>
  <si>
    <t>C0032M</t>
  </si>
  <si>
    <t>C0034M</t>
  </si>
  <si>
    <t>C0036M</t>
  </si>
  <si>
    <t>SUMIFS, AVERAGEIFS &amp; COUNTIFS</t>
  </si>
  <si>
    <t>Company</t>
  </si>
  <si>
    <t>Business Unit</t>
  </si>
  <si>
    <t>Main Unit</t>
  </si>
  <si>
    <t>Red Flag</t>
  </si>
  <si>
    <t>Revenue</t>
  </si>
  <si>
    <t>Question</t>
  </si>
  <si>
    <t>Find the solution to the following</t>
  </si>
  <si>
    <t>Entity A</t>
  </si>
  <si>
    <t>BU_1</t>
  </si>
  <si>
    <t>VC_A</t>
  </si>
  <si>
    <t>Total revenue of red flag companies</t>
  </si>
  <si>
    <t>Entity B</t>
  </si>
  <si>
    <t>Total revenue of companies below 13,000</t>
  </si>
  <si>
    <t>Entity C</t>
  </si>
  <si>
    <t>Total revenue that matches the below criteria:</t>
  </si>
  <si>
    <t>Entity D</t>
  </si>
  <si>
    <t>Main Unit is</t>
  </si>
  <si>
    <t>VC_C</t>
  </si>
  <si>
    <t>Entity E</t>
  </si>
  <si>
    <t>BU_2</t>
  </si>
  <si>
    <t>Red flag entity</t>
  </si>
  <si>
    <t>Entity F</t>
  </si>
  <si>
    <t>Answer:</t>
  </si>
  <si>
    <t>Entity G</t>
  </si>
  <si>
    <t>Entity H</t>
  </si>
  <si>
    <t>How many companies match the below criteria</t>
  </si>
  <si>
    <t>Entity I</t>
  </si>
  <si>
    <t>BU_3</t>
  </si>
  <si>
    <t>VC_B</t>
  </si>
  <si>
    <t>In main unit</t>
  </si>
  <si>
    <t>VC_b</t>
  </si>
  <si>
    <t>Entity J</t>
  </si>
  <si>
    <t>have revenue equal or above</t>
  </si>
  <si>
    <t>Entity K</t>
  </si>
  <si>
    <t>Entity L</t>
  </si>
  <si>
    <t>BU_4</t>
  </si>
  <si>
    <t>Entity M</t>
  </si>
  <si>
    <t>Entity N</t>
  </si>
  <si>
    <t>Entity O</t>
  </si>
  <si>
    <t>Entity P</t>
  </si>
  <si>
    <t>BU_5</t>
  </si>
  <si>
    <t>Entity Q</t>
  </si>
  <si>
    <t>BU_6</t>
  </si>
  <si>
    <t>Entity R</t>
  </si>
  <si>
    <t>Entity S</t>
  </si>
  <si>
    <t>Entity T</t>
  </si>
  <si>
    <t>Entity U</t>
  </si>
  <si>
    <t>BU_7</t>
  </si>
  <si>
    <t>Entity V</t>
  </si>
  <si>
    <t>Entity W</t>
  </si>
  <si>
    <t>Entity X</t>
  </si>
  <si>
    <t>Entity Y</t>
  </si>
  <si>
    <t>BU_8</t>
  </si>
  <si>
    <t>Entity Z</t>
  </si>
  <si>
    <t>LEFT RIGHT MID Function</t>
  </si>
  <si>
    <t>SKU Number</t>
  </si>
  <si>
    <t>Retail Price</t>
  </si>
  <si>
    <t>Supplier ID</t>
  </si>
  <si>
    <t>Part #</t>
  </si>
  <si>
    <t>Product Code</t>
  </si>
  <si>
    <t>Num Chars</t>
  </si>
  <si>
    <t>Lower</t>
  </si>
  <si>
    <t>Upper</t>
  </si>
  <si>
    <t>ACM110WW</t>
  </si>
  <si>
    <t>Windshield Wipers #110</t>
  </si>
  <si>
    <t>ACM111WWq</t>
  </si>
  <si>
    <t>Windshield Wipers #111</t>
  </si>
  <si>
    <t>ACM150WW</t>
  </si>
  <si>
    <t>Windshield Wipers #150</t>
  </si>
  <si>
    <t>ACM321DP</t>
  </si>
  <si>
    <t>Drain Plug #321</t>
  </si>
  <si>
    <t>ACM322DP</t>
  </si>
  <si>
    <t>Drain Plug #322</t>
  </si>
  <si>
    <t>ACM325DP</t>
  </si>
  <si>
    <t>Drain Plug #325</t>
  </si>
  <si>
    <t>ACM330DP</t>
  </si>
  <si>
    <t>Drain Plug #330</t>
  </si>
  <si>
    <t>ACM450DP</t>
  </si>
  <si>
    <t>Drain Plug #450</t>
  </si>
  <si>
    <t>ACM460DP</t>
  </si>
  <si>
    <t>Drain Plug #460</t>
  </si>
  <si>
    <t>AST530OL</t>
  </si>
  <si>
    <t>5W30</t>
  </si>
  <si>
    <t>AST100TF</t>
  </si>
  <si>
    <t>Automatic Transmission Fluid</t>
  </si>
  <si>
    <t>AST130OL</t>
  </si>
  <si>
    <t>10W30</t>
  </si>
  <si>
    <t>AST140OL</t>
  </si>
  <si>
    <t>10W40</t>
  </si>
  <si>
    <t>AST300GO</t>
  </si>
  <si>
    <t>Gear Oil</t>
  </si>
  <si>
    <t>AST121BF</t>
  </si>
  <si>
    <t>Brake Fluid</t>
  </si>
  <si>
    <t>AST132PS</t>
  </si>
  <si>
    <t>Power Steering Fluid</t>
  </si>
  <si>
    <t>AST2050995</t>
  </si>
  <si>
    <t>20W50</t>
  </si>
  <si>
    <t>BVR590WF</t>
  </si>
  <si>
    <t>Windshield Washer Fluid</t>
  </si>
  <si>
    <t>BVR690AF</t>
  </si>
  <si>
    <t>Anti-Freeze</t>
  </si>
  <si>
    <t>TRA203OF</t>
  </si>
  <si>
    <t>Oil Filter #203</t>
  </si>
  <si>
    <t>TRA205OF</t>
  </si>
  <si>
    <t>Oil Filter #205</t>
  </si>
  <si>
    <t>TRA207OF</t>
  </si>
  <si>
    <t>Oil Filter #207</t>
  </si>
  <si>
    <t>TRA310OF</t>
  </si>
  <si>
    <t>Oil Filter #310</t>
  </si>
  <si>
    <t>TRA610OF</t>
  </si>
  <si>
    <t>Oil Filter #610</t>
  </si>
  <si>
    <t>A business Analyst act as a bridge between business stakeholders and the IT team. They analyze business processses, gather requirements and translate them into functional specifications to ensure a project meets its objectives</t>
  </si>
  <si>
    <t>TEXT Functions</t>
  </si>
  <si>
    <t>Concatenate</t>
  </si>
  <si>
    <t>TextJoin</t>
  </si>
  <si>
    <t>Arraytotext</t>
  </si>
  <si>
    <t>Last Name</t>
  </si>
  <si>
    <t>First Name</t>
  </si>
  <si>
    <t>Full Name:</t>
  </si>
  <si>
    <t>Names</t>
  </si>
  <si>
    <t>Gonzales</t>
  </si>
  <si>
    <t>Joe</t>
  </si>
  <si>
    <t>Scote</t>
  </si>
  <si>
    <t>Gail</t>
  </si>
  <si>
    <t>Textsplit in row</t>
  </si>
  <si>
    <t>Textsplit in col</t>
  </si>
  <si>
    <t>Kane</t>
  </si>
  <si>
    <t>Sheryl</t>
  </si>
  <si>
    <t>Hapsbuch</t>
  </si>
  <si>
    <t>Kendrick</t>
  </si>
  <si>
    <t>Pratik Ranjeet Naigaonkar</t>
  </si>
  <si>
    <t>Henders</t>
  </si>
  <si>
    <t>Mark</t>
  </si>
  <si>
    <t>Atherton</t>
  </si>
  <si>
    <t>Katie</t>
  </si>
  <si>
    <t>Bellwood</t>
  </si>
  <si>
    <t>Frank</t>
  </si>
  <si>
    <t>Cooper</t>
  </si>
  <si>
    <t>Linda</t>
  </si>
  <si>
    <t>Cronwith</t>
  </si>
  <si>
    <t>Brent</t>
  </si>
  <si>
    <t>Simpson</t>
  </si>
  <si>
    <t>Sandrae</t>
  </si>
  <si>
    <t>Sindole</t>
  </si>
  <si>
    <t>Randy</t>
  </si>
  <si>
    <t>Ellen</t>
  </si>
  <si>
    <t>Vuanuo</t>
  </si>
  <si>
    <t>Tuome</t>
  </si>
  <si>
    <t>Szcznyck</t>
  </si>
  <si>
    <t>Tadeuz</t>
  </si>
  <si>
    <t>Wu</t>
  </si>
  <si>
    <t>Tammy</t>
  </si>
  <si>
    <t>Textjoin</t>
  </si>
  <si>
    <t>Smith, Scote, Kane</t>
  </si>
  <si>
    <t>Joey, Sindole, Wu Yung</t>
  </si>
  <si>
    <t>Cooper, Ray</t>
  </si>
  <si>
    <t>Textsplit+Textjoin</t>
  </si>
  <si>
    <t>Smith
Scote
Kane
Cooper
Ray</t>
  </si>
  <si>
    <t>textsplit(char(10)</t>
  </si>
  <si>
    <t>Insight from data</t>
  </si>
  <si>
    <t>Cost</t>
  </si>
  <si>
    <t>Profit</t>
  </si>
  <si>
    <t>Date</t>
  </si>
  <si>
    <t>Analgesic</t>
  </si>
  <si>
    <t xml:space="preserve">Losartan </t>
  </si>
  <si>
    <t>CVS</t>
  </si>
  <si>
    <t>Dizepam</t>
  </si>
  <si>
    <t>CNS</t>
  </si>
  <si>
    <t>What insight can be drawn using the given data?</t>
  </si>
  <si>
    <t>Sumatriptan</t>
  </si>
  <si>
    <t>Prepare a pivot using a given data</t>
  </si>
  <si>
    <t>Zolmitriptan</t>
  </si>
  <si>
    <t>Azelastine</t>
  </si>
  <si>
    <t>Respiratory</t>
  </si>
  <si>
    <t>Telmisartan</t>
  </si>
  <si>
    <t>Levodopa</t>
  </si>
  <si>
    <t>Carbidopa</t>
  </si>
  <si>
    <t>Ibuprofen</t>
  </si>
  <si>
    <t>Cisplatin</t>
  </si>
  <si>
    <t>Anticancer</t>
  </si>
  <si>
    <t>Etopposide</t>
  </si>
  <si>
    <t>Salbutamol</t>
  </si>
  <si>
    <t>Amoxicillin</t>
  </si>
  <si>
    <t>Customer</t>
  </si>
  <si>
    <t>Order ID</t>
  </si>
  <si>
    <t>Units Sold</t>
  </si>
  <si>
    <t>Rev</t>
  </si>
  <si>
    <t>Our cost</t>
  </si>
  <si>
    <t>Customer ID</t>
  </si>
  <si>
    <t>Total Revenue</t>
  </si>
  <si>
    <t># of orders</t>
  </si>
  <si>
    <t>White Chocolate Macadamia Nut</t>
  </si>
  <si>
    <t>Chocolate Chip</t>
  </si>
  <si>
    <t>Oatmeal Raisin</t>
  </si>
  <si>
    <t>Snickerdoodle</t>
  </si>
  <si>
    <t>Sugar</t>
  </si>
  <si>
    <t>Fortune Cookie</t>
  </si>
  <si>
    <t>Introduction to Array</t>
  </si>
  <si>
    <t>CURRENCY CONVERSION TABLE</t>
  </si>
  <si>
    <t>Currency</t>
  </si>
  <si>
    <t>USD</t>
  </si>
  <si>
    <t>AUD</t>
  </si>
  <si>
    <t>CAD</t>
  </si>
  <si>
    <t>CHF</t>
  </si>
  <si>
    <t>CNY</t>
  </si>
  <si>
    <t>EUR</t>
  </si>
  <si>
    <t>GBP</t>
  </si>
  <si>
    <t>INR</t>
  </si>
  <si>
    <t>JPY</t>
  </si>
  <si>
    <t>MYR</t>
  </si>
  <si>
    <t>SGD</t>
  </si>
  <si>
    <t>CURRENT RATES</t>
  </si>
  <si>
    <t>US Dollar</t>
  </si>
  <si>
    <t>1.00 USD</t>
  </si>
  <si>
    <t>inv. 1.00 USD</t>
  </si>
  <si>
    <t>Australian Dollar</t>
  </si>
  <si>
    <t>Euro</t>
  </si>
  <si>
    <t>Canadian Dollar</t>
  </si>
  <si>
    <t>British Pound</t>
  </si>
  <si>
    <t>Swiss Franc</t>
  </si>
  <si>
    <t>Indian Rupee</t>
  </si>
  <si>
    <t>Chinese Yuan Renminbi</t>
  </si>
  <si>
    <t>Singapore Dollar</t>
  </si>
  <si>
    <t>Japanese Yen</t>
  </si>
  <si>
    <t>Malaysian Ringgit</t>
  </si>
  <si>
    <t>http://www.x-rates.com/table/?from=USD&amp;amount=1</t>
  </si>
  <si>
    <t>Adding a Secondary axis</t>
  </si>
  <si>
    <r>
      <t>Average Temperature(</t>
    </r>
    <r>
      <rPr>
        <vertAlign val="superscript"/>
        <sz val="11"/>
        <color theme="1"/>
        <rFont val="Aptos Narrow"/>
        <family val="2"/>
        <scheme val="minor"/>
      </rPr>
      <t>o</t>
    </r>
    <r>
      <rPr>
        <sz val="11"/>
        <color theme="1"/>
        <rFont val="Aptos Narrow"/>
        <family val="2"/>
        <scheme val="minor"/>
      </rPr>
      <t>C)</t>
    </r>
  </si>
  <si>
    <t>Average Rainfall (mm)</t>
  </si>
  <si>
    <t>Emp ID</t>
  </si>
  <si>
    <t>Dept</t>
  </si>
  <si>
    <t>E-mail</t>
  </si>
  <si>
    <t>Phone Ext</t>
  </si>
  <si>
    <t>Location</t>
  </si>
  <si>
    <t>Hire Date</t>
  </si>
  <si>
    <t>Pay Rate</t>
  </si>
  <si>
    <t>AT</t>
  </si>
  <si>
    <t>howards</t>
  </si>
  <si>
    <t>Building 1</t>
  </si>
  <si>
    <t>joeg</t>
  </si>
  <si>
    <t>gails</t>
  </si>
  <si>
    <t>Min</t>
  </si>
  <si>
    <t>AD</t>
  </si>
  <si>
    <t>sherylk</t>
  </si>
  <si>
    <t>Building 2</t>
  </si>
  <si>
    <t>Mode</t>
  </si>
  <si>
    <t>AC</t>
  </si>
  <si>
    <t>kendrickh</t>
  </si>
  <si>
    <t>Median</t>
  </si>
  <si>
    <t>markh</t>
  </si>
  <si>
    <t>Avg</t>
  </si>
  <si>
    <t>HR</t>
  </si>
  <si>
    <t>katiea</t>
  </si>
  <si>
    <t>Building 3</t>
  </si>
  <si>
    <t>MK</t>
  </si>
  <si>
    <t>frankb</t>
  </si>
  <si>
    <t>Data Validation</t>
  </si>
  <si>
    <t>lindac</t>
  </si>
  <si>
    <t>1. Column D- Give Dropdown</t>
  </si>
  <si>
    <t>brentc</t>
  </si>
  <si>
    <t>2. Column F- data entered should be strictly 3 in  numbers</t>
  </si>
  <si>
    <t>MF</t>
  </si>
  <si>
    <t>sandraes</t>
  </si>
  <si>
    <t>3. Col H- date should be between 1 Jan 24 to 31 Jan 24</t>
  </si>
  <si>
    <t>randys</t>
  </si>
  <si>
    <t>4. Column C- Popup Message "write in Title case only"</t>
  </si>
  <si>
    <t>ellens</t>
  </si>
  <si>
    <t>5. Column F- Give error message "Only 3 digits accepted"</t>
  </si>
  <si>
    <t>tuomev</t>
  </si>
  <si>
    <t>6. Column C - Clear the applied data validation</t>
  </si>
  <si>
    <t>tadeuzs</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</si>
  <si>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</si>
  <si>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</si>
  <si>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</si>
  <si>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</si>
  <si>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</si>
  <si>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</si>
  <si>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</si>
  <si>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</si>
  <si>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</si>
  <si>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</si>
  <si>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</si>
  <si>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</si>
  <si>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</si>
  <si>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</si>
  <si>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</si>
  <si>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</si>
  <si>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</si>
  <si>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</si>
  <si>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</si>
  <si>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</si>
  <si>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</si>
  <si>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</si>
  <si>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</si>
  <si>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</si>
  <si>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</si>
  <si>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</si>
  <si>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</si>
  <si>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</si>
  <si>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</si>
  <si>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</si>
  <si>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</si>
  <si>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</si>
  <si>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</si>
  <si>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</si>
  <si>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</si>
  <si>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</si>
  <si>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</si>
  <si>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</si>
  <si>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</si>
  <si>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</si>
  <si>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</si>
  <si>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</si>
  <si>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</si>
  <si>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</si>
  <si>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</si>
  <si>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</si>
  <si>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</si>
  <si>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</si>
  <si>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</si>
  <si>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</si>
  <si>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</si>
  <si>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</si>
  <si>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</si>
  <si>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</si>
  <si>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</si>
  <si>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</si>
  <si>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</si>
  <si>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</si>
  <si>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</si>
  <si>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</si>
  <si>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</si>
  <si>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t>
  </si>
  <si>
    <t xml:space="preserve">Date </t>
  </si>
  <si>
    <t>Extract</t>
  </si>
  <si>
    <t>weekday</t>
  </si>
  <si>
    <t>After 5 days</t>
  </si>
  <si>
    <t>After 2 months</t>
  </si>
  <si>
    <t>After 2 years</t>
  </si>
  <si>
    <t>After 6 years 2 months</t>
  </si>
  <si>
    <t>Revenue Matrix</t>
  </si>
  <si>
    <t>Incentive</t>
  </si>
  <si>
    <t>29280-36375</t>
  </si>
  <si>
    <t>G</t>
  </si>
  <si>
    <t>36376-39000</t>
  </si>
  <si>
    <t>H</t>
  </si>
  <si>
    <t>39001-45000</t>
  </si>
  <si>
    <t>E</t>
  </si>
  <si>
    <t>45001-52000</t>
  </si>
  <si>
    <t>K</t>
  </si>
  <si>
    <t>52001 and above</t>
  </si>
  <si>
    <t>6000-6999</t>
  </si>
  <si>
    <t>7000-7999</t>
  </si>
  <si>
    <t>8000-8999</t>
  </si>
  <si>
    <t>IF-OR</t>
  </si>
  <si>
    <t>IF-AND</t>
  </si>
  <si>
    <t>Multiple ifs</t>
  </si>
  <si>
    <t>Nested IF</t>
  </si>
  <si>
    <t>9000-9999</t>
  </si>
  <si>
    <t>10000 and above</t>
  </si>
  <si>
    <t>(if either of week 1 or week 2 is greater than 9000, yes/No)</t>
  </si>
  <si>
    <t>Country</t>
  </si>
  <si>
    <t>Malaysia</t>
  </si>
  <si>
    <t>Cookie Business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</si>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</sst>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44" formatCode="_(&quot;$&quot;* #,##0.00_);_(&quot;$&quot;* \(#,##0.00\);_(&quot;$&quot;* &quot;-&quot;??_);_(@_)"/>
    <numFmt numFmtId="43" formatCode="_(* #,##0.00_);_(* \(#,##0.00\);_(* &quot;-&quot;??_);_(@_)"/>
    <numFmt numFmtId="164" formatCode="_ * #,##0.00_ ;_ * \-#,##0.00_ ;_ * &quot;-&quot;??_ ;_ @_ "/>
    <numFmt numFmtId="165" formatCode="dd/mm/yy"/>
    <numFmt numFmtId="166" formatCode="_ * #,##0_ ;_ * \-#,##0_ ;_ * &quot;-&quot;??_ ;_ @_ "/>
    <numFmt numFmtId="167" formatCode="dd/mmm/yyyy"/>
    <numFmt numFmtId="168" formatCode="dd\ mmm\ yyyy"/>
    <numFmt numFmtId="169" formatCode="dd\ mmm\ yy"/>
    <numFmt numFmtId="170" formatCode="[&gt;=1000000]###\,###\,##0;[&gt;=100000]###\,##0;##\,##\,##0;"/>
    <numFmt numFmtId="171" formatCode="_ * #,##0.0_ ;_ * \-#,##0.0_ ;_ * &quot;-&quot;??_ ;_ @_ "/>
    <numFmt numFmtId="172" formatCode="#,##0.0"/>
    <numFmt numFmtId="173" formatCode="mmm/yyyy"/>
    <numFmt numFmtId="174" formatCode="_(&quot;$&quot;* #,##0_);_(&quot;$&quot;* \(#,##0\);_(&quot;$&quot;* &quot;-&quot;??_);_(@_)"/>
    <numFmt numFmtId="175" formatCode="0.00_);[Red]\(0.00\)"/>
    <numFmt numFmtId="176" formatCode="_(* #,##0_);_(* \(#,##0\);_(* &quot;-&quot;??_);_(@_)"/>
    <numFmt numFmtId="177" formatCode="&quot;$&quot;#,##0.00;\(&quot;$&quot;#,##0.00\)"/>
    <numFmt numFmtId="178" formatCode="_-[$$-409]* #,##0.00_ ;_-[$$-409]* \-#,##0.00\ ;_-[$$-409]* &quot;-&quot;??_ ;_-@_ "/>
    <numFmt numFmtId="179" formatCode="0.0000"/>
    <numFmt numFmtId="180" formatCode="dd\-mmm\-yy"/>
    <numFmt numFmtId="181" formatCode="[$-F800]dddd\,\ mmmm\ dd\,\ yyyy"/>
  </numFmts>
  <fonts count="53">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color rgb="FF000000"/>
      <name val="Calibri"/>
      <family val="2"/>
    </font>
    <font>
      <sz val="10"/>
      <name val="Cambria"/>
      <family val="1"/>
    </font>
    <font>
      <i/>
      <sz val="11"/>
      <color theme="1"/>
      <name val="Calibri"/>
      <family val="2"/>
    </font>
    <font>
      <sz val="11"/>
      <name val="Calibri"/>
      <family val="2"/>
    </font>
    <font>
      <b/>
      <sz val="17"/>
      <color theme="1"/>
      <name val="Calibri"/>
      <family val="2"/>
    </font>
    <font>
      <b/>
      <sz val="20"/>
      <color theme="1"/>
      <name val="Aptos Narrow"/>
      <family val="2"/>
      <scheme val="minor"/>
    </font>
    <font>
      <b/>
      <sz val="14"/>
      <color theme="1"/>
      <name val="Calibri"/>
      <family val="2"/>
    </font>
    <font>
      <sz val="14"/>
      <color theme="1"/>
      <name val="Calibri"/>
      <family val="2"/>
    </font>
    <font>
      <sz val="12"/>
      <color theme="1"/>
      <name val="Calibri"/>
      <family val="2"/>
    </font>
    <font>
      <sz val="13"/>
      <color theme="1"/>
      <name val="Calibri"/>
      <family val="2"/>
    </font>
    <font>
      <b/>
      <sz val="16"/>
      <color theme="1"/>
      <name val="Calibri"/>
      <family val="2"/>
    </font>
    <font>
      <sz val="16"/>
      <color theme="1"/>
      <name val="Calibri"/>
      <family val="2"/>
    </font>
    <font>
      <b/>
      <sz val="13"/>
      <color theme="1"/>
      <name val="Calibri"/>
      <family val="2"/>
    </font>
    <font>
      <b/>
      <sz val="11"/>
      <color theme="1"/>
      <name val="Calibri"/>
      <family val="2"/>
    </font>
    <font>
      <u/>
      <sz val="11"/>
      <color theme="1"/>
      <name val="Calibri"/>
      <family val="2"/>
    </font>
    <font>
      <b/>
      <sz val="9"/>
      <color indexed="81"/>
      <name val="Tahoma"/>
      <family val="2"/>
    </font>
    <font>
      <sz val="9"/>
      <color indexed="81"/>
      <name val="Tahoma"/>
      <family val="2"/>
    </font>
    <font>
      <sz val="10"/>
      <name val="Arial"/>
      <family val="2"/>
    </font>
    <font>
      <b/>
      <sz val="13"/>
      <color theme="0"/>
      <name val="Calibri"/>
      <family val="2"/>
    </font>
    <font>
      <sz val="13"/>
      <name val="Calibri"/>
      <family val="2"/>
    </font>
    <font>
      <sz val="10"/>
      <name val="Calibri"/>
      <family val="2"/>
    </font>
    <font>
      <sz val="12"/>
      <name val="Calibri"/>
      <family val="2"/>
    </font>
    <font>
      <b/>
      <sz val="12"/>
      <name val="Calibri"/>
      <family val="2"/>
    </font>
    <font>
      <b/>
      <sz val="12"/>
      <color theme="0"/>
      <name val="Calibri"/>
      <family val="2"/>
    </font>
    <font>
      <b/>
      <sz val="12"/>
      <color indexed="9"/>
      <name val="Calibri"/>
      <family val="2"/>
    </font>
    <font>
      <b/>
      <sz val="11"/>
      <color theme="0"/>
      <name val="Calibri"/>
      <family val="2"/>
    </font>
    <font>
      <sz val="10"/>
      <name val="MS Sans Serif"/>
      <charset val="178"/>
    </font>
    <font>
      <b/>
      <sz val="13"/>
      <name val="Calibri"/>
      <family val="2"/>
    </font>
    <font>
      <sz val="10"/>
      <color theme="0"/>
      <name val="Arial"/>
      <family val="2"/>
    </font>
    <font>
      <b/>
      <sz val="12"/>
      <color theme="1"/>
      <name val="Calibri"/>
      <family val="2"/>
    </font>
    <font>
      <sz val="10"/>
      <color indexed="8"/>
      <name val="Arial"/>
      <family val="2"/>
    </font>
    <font>
      <sz val="11"/>
      <color indexed="8"/>
      <name val="Calibri"/>
      <family val="2"/>
    </font>
    <font>
      <b/>
      <sz val="11"/>
      <name val="Calibri"/>
      <family val="2"/>
    </font>
    <font>
      <b/>
      <sz val="15"/>
      <color theme="1"/>
      <name val="Calibri"/>
      <family val="2"/>
    </font>
    <font>
      <sz val="15"/>
      <name val="Calibri"/>
      <family val="2"/>
    </font>
    <font>
      <sz val="12"/>
      <color indexed="8"/>
      <name val="Calibri"/>
      <family val="2"/>
    </font>
    <font>
      <b/>
      <sz val="18"/>
      <color theme="0"/>
      <name val="Aptos Narrow"/>
      <family val="2"/>
      <scheme val="minor"/>
    </font>
    <font>
      <sz val="11"/>
      <color theme="1"/>
      <name val="Arial"/>
      <family val="2"/>
    </font>
    <font>
      <sz val="11"/>
      <color rgb="FF000000"/>
      <name val="Arial"/>
      <family val="2"/>
    </font>
    <font>
      <sz val="11"/>
      <color rgb="FF000000"/>
      <name val="Tw Cen MT"/>
      <family val="2"/>
    </font>
    <font>
      <b/>
      <sz val="11"/>
      <color theme="0"/>
      <name val="Arial"/>
      <family val="2"/>
    </font>
    <font>
      <b/>
      <sz val="11"/>
      <name val="Aptos Narrow"/>
      <family val="2"/>
      <scheme val="minor"/>
    </font>
    <font>
      <sz val="11"/>
      <name val="Aptos Narrow"/>
      <family val="2"/>
      <scheme val="minor"/>
    </font>
    <font>
      <u/>
      <sz val="11"/>
      <color theme="10"/>
      <name val="Aptos Narrow"/>
      <family val="2"/>
      <scheme val="minor"/>
    </font>
    <font>
      <vertAlign val="superscript"/>
      <sz val="11"/>
      <color theme="1"/>
      <name val="Aptos Narrow"/>
      <family val="2"/>
      <scheme val="minor"/>
    </font>
    <font>
      <b/>
      <sz val="10"/>
      <name val="Calibri"/>
      <family val="2"/>
    </font>
    <font>
      <b/>
      <sz val="36"/>
      <color theme="0"/>
      <name val="Calibri"/>
      <family val="2"/>
    </font>
  </fonts>
  <fills count="28">
    <fill>
      <patternFill patternType="none"/>
    </fill>
    <fill>
      <patternFill patternType="gray125"/>
    </fill>
    <fill>
      <patternFill patternType="solid">
        <fgColor theme="4"/>
      </patternFill>
    </fill>
    <fill>
      <patternFill patternType="solid">
        <fgColor theme="4"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1" tint="0.34998626667073579"/>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theme="9" tint="0.79998168889431442"/>
        <bgColor indexed="8"/>
      </patternFill>
    </fill>
    <fill>
      <patternFill patternType="solid">
        <fgColor theme="3" tint="0.89999084444715716"/>
        <bgColor indexed="64"/>
      </patternFill>
    </fill>
    <fill>
      <patternFill patternType="solid">
        <fgColor theme="1"/>
        <bgColor indexed="64"/>
      </patternFill>
    </fill>
    <fill>
      <patternFill patternType="solid">
        <fgColor rgb="FFD3ECFC"/>
        <bgColor rgb="FFD3ECFC"/>
      </patternFill>
    </fill>
    <fill>
      <patternFill patternType="solid">
        <fgColor theme="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1" tint="0.49998474074526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bottom style="medium">
        <color indexed="64"/>
      </bottom>
      <diagonal/>
    </border>
  </borders>
  <cellStyleXfs count="15">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23" fillId="0" borderId="0"/>
    <xf numFmtId="44" fontId="23" fillId="0" borderId="0" applyFont="0" applyFill="0" applyBorder="0" applyAlignment="0" applyProtection="0"/>
    <xf numFmtId="0" fontId="23" fillId="0" borderId="0"/>
    <xf numFmtId="0" fontId="32" fillId="0" borderId="0"/>
    <xf numFmtId="44" fontId="23" fillId="0" borderId="0" applyFont="0" applyFill="0" applyBorder="0" applyAlignment="0" applyProtection="0"/>
    <xf numFmtId="43" fontId="1" fillId="0" borderId="0" applyFont="0" applyFill="0" applyBorder="0" applyAlignment="0" applyProtection="0"/>
    <xf numFmtId="0" fontId="36" fillId="0" borderId="0"/>
    <xf numFmtId="0" fontId="36" fillId="0" borderId="0"/>
    <xf numFmtId="44" fontId="1" fillId="0" borderId="0" applyFont="0" applyFill="0" applyBorder="0" applyAlignment="0" applyProtection="0"/>
    <xf numFmtId="0" fontId="49" fillId="0" borderId="0" applyNumberFormat="0" applyFill="0" applyBorder="0" applyAlignment="0" applyProtection="0"/>
    <xf numFmtId="0" fontId="4" fillId="2" borderId="0" applyNumberFormat="0" applyBorder="0" applyAlignment="0" applyProtection="0"/>
  </cellStyleXfs>
  <cellXfs count="278">
    <xf numFmtId="0" fontId="0" fillId="0" borderId="0" xfId="0"/>
    <xf numFmtId="0" fontId="0" fillId="3" borderId="1" xfId="0" applyFill="1" applyBorder="1" applyAlignment="1">
      <alignment vertical="center"/>
    </xf>
    <xf numFmtId="0" fontId="0" fillId="3" borderId="1" xfId="0" applyFill="1" applyBorder="1" applyAlignment="1">
      <alignment horizontal="left" vertical="center"/>
    </xf>
    <xf numFmtId="0" fontId="0" fillId="0" borderId="1" xfId="0" applyBorder="1"/>
    <xf numFmtId="0" fontId="5" fillId="0" borderId="1" xfId="0" applyFont="1" applyBorder="1" applyAlignment="1">
      <alignment horizontal="left" vertical="center"/>
    </xf>
    <xf numFmtId="165" fontId="5" fillId="0" borderId="1" xfId="0" applyNumberFormat="1" applyFont="1" applyBorder="1" applyAlignment="1">
      <alignment horizontal="left" vertical="center"/>
    </xf>
    <xf numFmtId="0" fontId="6" fillId="0" borderId="1" xfId="0" applyFont="1" applyBorder="1" applyAlignment="1">
      <alignment horizontal="left" vertical="center" readingOrder="1"/>
    </xf>
    <xf numFmtId="166" fontId="0" fillId="0" borderId="1" xfId="1" applyNumberFormat="1" applyFont="1" applyFill="1" applyBorder="1"/>
    <xf numFmtId="1" fontId="7" fillId="0" borderId="1" xfId="0" applyNumberFormat="1" applyFont="1" applyBorder="1" applyAlignment="1">
      <alignment horizontal="left" vertical="center"/>
    </xf>
    <xf numFmtId="0" fontId="5" fillId="0" borderId="1" xfId="0" applyFont="1" applyBorder="1" applyAlignment="1">
      <alignment horizontal="left" vertical="top"/>
    </xf>
    <xf numFmtId="167" fontId="5" fillId="0" borderId="1" xfId="0" applyNumberFormat="1" applyFont="1" applyBorder="1" applyAlignment="1">
      <alignment horizontal="left" vertical="center"/>
    </xf>
    <xf numFmtId="0" fontId="6" fillId="0" borderId="1" xfId="0" applyFont="1" applyBorder="1" applyAlignment="1">
      <alignment horizontal="left" vertical="top" readingOrder="1"/>
    </xf>
    <xf numFmtId="0" fontId="8" fillId="0" borderId="1" xfId="0" applyFont="1" applyBorder="1" applyAlignment="1">
      <alignment horizontal="left" vertical="top"/>
    </xf>
    <xf numFmtId="14" fontId="0" fillId="0" borderId="1" xfId="0" applyNumberFormat="1" applyBorder="1" applyAlignment="1">
      <alignment horizontal="left"/>
    </xf>
    <xf numFmtId="14" fontId="5" fillId="0" borderId="1" xfId="0" applyNumberFormat="1" applyFont="1" applyBorder="1" applyAlignment="1">
      <alignment horizontal="left" vertical="center"/>
    </xf>
    <xf numFmtId="167" fontId="6" fillId="0" borderId="1" xfId="0" applyNumberFormat="1" applyFont="1" applyBorder="1" applyAlignment="1">
      <alignment horizontal="left" vertical="center" readingOrder="1"/>
    </xf>
    <xf numFmtId="1" fontId="9" fillId="0" borderId="1" xfId="0" applyNumberFormat="1" applyFont="1" applyBorder="1" applyAlignment="1">
      <alignment horizontal="left" vertical="center"/>
    </xf>
    <xf numFmtId="0" fontId="0" fillId="0" borderId="1" xfId="0" applyBorder="1" applyAlignment="1">
      <alignment horizontal="left"/>
    </xf>
    <xf numFmtId="0" fontId="0" fillId="3" borderId="0" xfId="0" applyFill="1" applyAlignment="1">
      <alignment vertical="center"/>
    </xf>
    <xf numFmtId="0" fontId="0" fillId="3" borderId="0" xfId="0" applyFill="1" applyAlignment="1">
      <alignment horizontal="right" vertical="center"/>
    </xf>
    <xf numFmtId="0" fontId="5" fillId="0" borderId="0" xfId="0" applyFont="1" applyAlignment="1">
      <alignment horizontal="left" vertical="center"/>
    </xf>
    <xf numFmtId="0" fontId="5" fillId="4" borderId="0" xfId="0" applyFont="1" applyFill="1" applyAlignment="1">
      <alignment horizontal="left" vertical="center"/>
    </xf>
    <xf numFmtId="167" fontId="5" fillId="0" borderId="0" xfId="0" applyNumberFormat="1" applyFont="1" applyAlignment="1">
      <alignment horizontal="right" vertical="center"/>
    </xf>
    <xf numFmtId="0" fontId="6" fillId="0" borderId="0" xfId="0" applyFont="1" applyAlignment="1">
      <alignment horizontal="left" vertical="center" readingOrder="1"/>
    </xf>
    <xf numFmtId="166" fontId="0" fillId="0" borderId="0" xfId="1" applyNumberFormat="1" applyFont="1" applyFill="1" applyBorder="1"/>
    <xf numFmtId="1" fontId="7" fillId="4" borderId="0" xfId="0" applyNumberFormat="1" applyFont="1" applyFill="1" applyAlignment="1">
      <alignment horizontal="left" vertical="center"/>
    </xf>
    <xf numFmtId="0" fontId="5" fillId="0" borderId="0" xfId="0" applyFont="1" applyAlignment="1">
      <alignment horizontal="left" vertical="top"/>
    </xf>
    <xf numFmtId="0" fontId="6" fillId="0" borderId="0" xfId="0" applyFont="1" applyAlignment="1">
      <alignment horizontal="left" vertical="top" readingOrder="1"/>
    </xf>
    <xf numFmtId="0" fontId="5" fillId="4" borderId="0" xfId="0" applyFont="1" applyFill="1" applyAlignment="1">
      <alignment horizontal="left" vertical="top"/>
    </xf>
    <xf numFmtId="0" fontId="5" fillId="4" borderId="0" xfId="0" applyFont="1" applyFill="1" applyAlignment="1">
      <alignment horizontal="right" vertical="center"/>
    </xf>
    <xf numFmtId="0" fontId="6" fillId="4" borderId="0" xfId="0" applyFont="1" applyFill="1" applyAlignment="1">
      <alignment horizontal="left" vertical="top" readingOrder="1"/>
    </xf>
    <xf numFmtId="168" fontId="5" fillId="0" borderId="0" xfId="0" applyNumberFormat="1" applyFont="1" applyAlignment="1">
      <alignment horizontal="right" vertical="center"/>
    </xf>
    <xf numFmtId="168" fontId="5" fillId="4" borderId="0" xfId="0" applyNumberFormat="1" applyFont="1" applyFill="1" applyAlignment="1">
      <alignment horizontal="right" vertical="center"/>
    </xf>
    <xf numFmtId="169" fontId="5" fillId="4" borderId="0" xfId="0" applyNumberFormat="1" applyFont="1" applyFill="1" applyAlignment="1">
      <alignment horizontal="right" vertical="center"/>
    </xf>
    <xf numFmtId="167" fontId="6" fillId="0" borderId="0" xfId="0" applyNumberFormat="1" applyFont="1" applyAlignment="1">
      <alignment horizontal="right" vertical="center" readingOrder="1"/>
    </xf>
    <xf numFmtId="1" fontId="9" fillId="4" borderId="0" xfId="0" applyNumberFormat="1" applyFont="1" applyFill="1" applyAlignment="1">
      <alignment horizontal="left" vertical="center"/>
    </xf>
    <xf numFmtId="167" fontId="5" fillId="4" borderId="0" xfId="0" applyNumberFormat="1" applyFont="1" applyFill="1" applyAlignment="1">
      <alignment horizontal="right" vertical="center"/>
    </xf>
    <xf numFmtId="0" fontId="0" fillId="0" borderId="0" xfId="0" applyAlignment="1">
      <alignment horizontal="right"/>
    </xf>
    <xf numFmtId="0" fontId="10" fillId="5" borderId="0" xfId="0" applyFont="1" applyFill="1"/>
    <xf numFmtId="0" fontId="0" fillId="5" borderId="0" xfId="0" applyFill="1"/>
    <xf numFmtId="0" fontId="11" fillId="6" borderId="0" xfId="0" applyFont="1" applyFill="1"/>
    <xf numFmtId="0" fontId="0" fillId="6" borderId="0" xfId="0" applyFill="1"/>
    <xf numFmtId="0" fontId="12" fillId="6" borderId="0" xfId="0" applyFont="1" applyFill="1"/>
    <xf numFmtId="0" fontId="13" fillId="6" borderId="0" xfId="0" applyFont="1" applyFill="1"/>
    <xf numFmtId="0" fontId="5" fillId="6" borderId="0" xfId="0" applyFont="1" applyFill="1"/>
    <xf numFmtId="0" fontId="14" fillId="6" borderId="1" xfId="0" applyFont="1" applyFill="1" applyBorder="1"/>
    <xf numFmtId="0" fontId="0" fillId="6" borderId="1" xfId="0" applyFill="1" applyBorder="1"/>
    <xf numFmtId="0" fontId="15" fillId="6" borderId="0" xfId="0" applyFont="1" applyFill="1"/>
    <xf numFmtId="15" fontId="14" fillId="6" borderId="1" xfId="0" applyNumberFormat="1" applyFont="1" applyFill="1" applyBorder="1"/>
    <xf numFmtId="15" fontId="0" fillId="6" borderId="0" xfId="0" applyNumberFormat="1" applyFill="1"/>
    <xf numFmtId="0" fontId="14" fillId="6" borderId="0" xfId="0" applyFont="1" applyFill="1"/>
    <xf numFmtId="166" fontId="14" fillId="6" borderId="0" xfId="1" applyNumberFormat="1" applyFont="1" applyFill="1"/>
    <xf numFmtId="170" fontId="14" fillId="6" borderId="0" xfId="1" applyNumberFormat="1" applyFont="1" applyFill="1"/>
    <xf numFmtId="171" fontId="14" fillId="6" borderId="1" xfId="1" applyNumberFormat="1" applyFont="1" applyFill="1" applyBorder="1"/>
    <xf numFmtId="172" fontId="14" fillId="6" borderId="1" xfId="0" applyNumberFormat="1" applyFont="1" applyFill="1" applyBorder="1"/>
    <xf numFmtId="0" fontId="3" fillId="6" borderId="0" xfId="0" applyFont="1" applyFill="1"/>
    <xf numFmtId="14" fontId="0" fillId="0" borderId="0" xfId="0" applyNumberFormat="1"/>
    <xf numFmtId="0" fontId="16" fillId="5" borderId="0" xfId="0" applyFont="1" applyFill="1"/>
    <xf numFmtId="0" fontId="17" fillId="5" borderId="0" xfId="0" applyFont="1" applyFill="1"/>
    <xf numFmtId="0" fontId="18" fillId="0" borderId="0" xfId="0" applyFont="1"/>
    <xf numFmtId="0" fontId="5" fillId="0" borderId="0" xfId="0" applyFont="1"/>
    <xf numFmtId="0" fontId="14" fillId="0" borderId="0" xfId="0" applyFont="1"/>
    <xf numFmtId="0" fontId="19" fillId="7" borderId="0" xfId="0" applyFont="1" applyFill="1"/>
    <xf numFmtId="0" fontId="20" fillId="0" borderId="0" xfId="0" applyFont="1"/>
    <xf numFmtId="0" fontId="5" fillId="5" borderId="0" xfId="0" applyFont="1" applyFill="1"/>
    <xf numFmtId="14" fontId="5" fillId="0" borderId="0" xfId="0" applyNumberFormat="1" applyFont="1"/>
    <xf numFmtId="173" fontId="5" fillId="0" borderId="0" xfId="0" applyNumberFormat="1" applyFont="1"/>
    <xf numFmtId="0" fontId="5" fillId="8" borderId="1" xfId="0" applyFont="1" applyFill="1" applyBorder="1"/>
    <xf numFmtId="0" fontId="5" fillId="0" borderId="1" xfId="0" applyFont="1" applyBorder="1"/>
    <xf numFmtId="170" fontId="5" fillId="0" borderId="0" xfId="1" applyNumberFormat="1" applyFont="1"/>
    <xf numFmtId="164" fontId="5" fillId="0" borderId="0" xfId="1" applyFont="1"/>
    <xf numFmtId="0" fontId="12" fillId="0" borderId="0" xfId="0" applyFont="1"/>
    <xf numFmtId="0" fontId="5" fillId="0" borderId="0" xfId="0" applyFont="1" applyAlignment="1">
      <alignment vertical="top"/>
    </xf>
    <xf numFmtId="0" fontId="5" fillId="8" borderId="0" xfId="0" applyFont="1" applyFill="1"/>
    <xf numFmtId="0" fontId="5" fillId="9" borderId="0" xfId="0" applyFont="1" applyFill="1" applyAlignment="1">
      <alignment vertical="top"/>
    </xf>
    <xf numFmtId="0" fontId="5" fillId="9" borderId="0" xfId="0" applyFont="1" applyFill="1"/>
    <xf numFmtId="0" fontId="0" fillId="0" borderId="0" xfId="0" applyAlignment="1">
      <alignment vertical="top"/>
    </xf>
    <xf numFmtId="0" fontId="18" fillId="0" borderId="2" xfId="0" applyFont="1" applyBorder="1"/>
    <xf numFmtId="0" fontId="18" fillId="10" borderId="2" xfId="4" applyFont="1" applyFill="1" applyBorder="1"/>
    <xf numFmtId="0" fontId="23" fillId="0" borderId="0" xfId="4"/>
    <xf numFmtId="0" fontId="23" fillId="0" borderId="0" xfId="4" applyAlignment="1">
      <alignment vertical="center"/>
    </xf>
    <xf numFmtId="0" fontId="24" fillId="11" borderId="0" xfId="4" applyFont="1" applyFill="1" applyAlignment="1">
      <alignment vertical="center"/>
    </xf>
    <xf numFmtId="0" fontId="25" fillId="0" borderId="3" xfId="4" applyFont="1" applyBorder="1" applyAlignment="1">
      <alignment horizontal="center" vertical="center"/>
    </xf>
    <xf numFmtId="14" fontId="25" fillId="0" borderId="3" xfId="4" applyNumberFormat="1" applyFont="1" applyBorder="1" applyAlignment="1">
      <alignment horizontal="center" vertical="center"/>
    </xf>
    <xf numFmtId="0" fontId="25" fillId="10" borderId="3" xfId="4" applyFont="1" applyFill="1" applyBorder="1"/>
    <xf numFmtId="14" fontId="23" fillId="0" borderId="0" xfId="4" applyNumberFormat="1"/>
    <xf numFmtId="0" fontId="26" fillId="5" borderId="0" xfId="4" applyFont="1" applyFill="1" applyAlignment="1">
      <alignment vertical="center"/>
    </xf>
    <xf numFmtId="0" fontId="25" fillId="0" borderId="0" xfId="4" applyFont="1"/>
    <xf numFmtId="0" fontId="25" fillId="0" borderId="4" xfId="4" applyFont="1" applyBorder="1" applyAlignment="1">
      <alignment horizontal="center" vertical="center"/>
    </xf>
    <xf numFmtId="0" fontId="27" fillId="0" borderId="0" xfId="4" applyFont="1"/>
    <xf numFmtId="0" fontId="26" fillId="0" borderId="0" xfId="4" applyFont="1"/>
    <xf numFmtId="0" fontId="18" fillId="0" borderId="0" xfId="4" applyFont="1"/>
    <xf numFmtId="0" fontId="28" fillId="0" borderId="6" xfId="4" applyFont="1" applyBorder="1" applyAlignment="1">
      <alignment horizontal="right" vertical="center"/>
    </xf>
    <xf numFmtId="44" fontId="29" fillId="11" borderId="6" xfId="5" applyFont="1" applyFill="1" applyBorder="1"/>
    <xf numFmtId="0" fontId="29" fillId="11" borderId="7" xfId="4" applyFont="1" applyFill="1" applyBorder="1" applyAlignment="1">
      <alignment horizontal="center"/>
    </xf>
    <xf numFmtId="0" fontId="29" fillId="11" borderId="8" xfId="4" applyFont="1" applyFill="1" applyBorder="1" applyAlignment="1">
      <alignment horizontal="center"/>
    </xf>
    <xf numFmtId="0" fontId="29" fillId="11" borderId="9" xfId="4" applyFont="1" applyFill="1" applyBorder="1" applyAlignment="1">
      <alignment horizontal="center"/>
    </xf>
    <xf numFmtId="0" fontId="29" fillId="12" borderId="10" xfId="4" applyFont="1" applyFill="1" applyBorder="1" applyAlignment="1">
      <alignment horizontal="center"/>
    </xf>
    <xf numFmtId="0" fontId="30" fillId="13" borderId="11" xfId="4" applyFont="1" applyFill="1" applyBorder="1" applyAlignment="1">
      <alignment horizontal="right"/>
    </xf>
    <xf numFmtId="174" fontId="27" fillId="0" borderId="1" xfId="5" applyNumberFormat="1" applyFont="1" applyBorder="1" applyAlignment="1">
      <alignment horizontal="left"/>
    </xf>
    <xf numFmtId="174" fontId="28" fillId="0" borderId="12" xfId="5" applyNumberFormat="1" applyFont="1" applyBorder="1" applyAlignment="1">
      <alignment horizontal="center"/>
    </xf>
    <xf numFmtId="175" fontId="28" fillId="10" borderId="13" xfId="4" applyNumberFormat="1" applyFont="1" applyFill="1" applyBorder="1" applyAlignment="1">
      <alignment horizontal="center"/>
    </xf>
    <xf numFmtId="0" fontId="28" fillId="10" borderId="13" xfId="4" applyFont="1" applyFill="1" applyBorder="1" applyAlignment="1">
      <alignment horizontal="center"/>
    </xf>
    <xf numFmtId="0" fontId="26" fillId="0" borderId="14" xfId="4" applyFont="1" applyBorder="1" applyAlignment="1">
      <alignment vertical="top" wrapText="1"/>
    </xf>
    <xf numFmtId="0" fontId="26" fillId="0" borderId="0" xfId="4" applyFont="1" applyAlignment="1">
      <alignment vertical="top" wrapText="1"/>
    </xf>
    <xf numFmtId="0" fontId="30" fillId="13" borderId="15" xfId="4" applyFont="1" applyFill="1" applyBorder="1" applyAlignment="1">
      <alignment horizontal="right"/>
    </xf>
    <xf numFmtId="174" fontId="27" fillId="0" borderId="16" xfId="5" applyNumberFormat="1" applyFont="1" applyBorder="1" applyAlignment="1">
      <alignment horizontal="left"/>
    </xf>
    <xf numFmtId="174" fontId="28" fillId="0" borderId="17" xfId="5" applyNumberFormat="1" applyFont="1" applyBorder="1" applyAlignment="1">
      <alignment horizontal="center"/>
    </xf>
    <xf numFmtId="0" fontId="30" fillId="11" borderId="18" xfId="4" applyFont="1" applyFill="1" applyBorder="1" applyAlignment="1">
      <alignment horizontal="center" vertical="center"/>
    </xf>
    <xf numFmtId="174" fontId="27" fillId="10" borderId="1" xfId="4" applyNumberFormat="1" applyFont="1" applyFill="1" applyBorder="1" applyAlignment="1">
      <alignment horizontal="center" vertical="center"/>
    </xf>
    <xf numFmtId="0" fontId="27" fillId="0" borderId="0" xfId="4" applyFont="1" applyAlignment="1">
      <alignment horizontal="center" vertical="center"/>
    </xf>
    <xf numFmtId="0" fontId="26" fillId="0" borderId="0" xfId="4" applyFont="1" applyAlignment="1">
      <alignment horizontal="center" vertical="center"/>
    </xf>
    <xf numFmtId="0" fontId="23" fillId="0" borderId="0" xfId="4" applyAlignment="1">
      <alignment horizontal="center" vertical="center"/>
    </xf>
    <xf numFmtId="0" fontId="30" fillId="0" borderId="0" xfId="4" applyFont="1" applyAlignment="1">
      <alignment horizontal="right"/>
    </xf>
    <xf numFmtId="0" fontId="28" fillId="10" borderId="1" xfId="4" applyFont="1" applyFill="1" applyBorder="1" applyAlignment="1">
      <alignment horizontal="center" vertical="center"/>
    </xf>
    <xf numFmtId="0" fontId="23" fillId="0" borderId="0" xfId="6"/>
    <xf numFmtId="0" fontId="31" fillId="14" borderId="3" xfId="6" applyFont="1" applyFill="1" applyBorder="1" applyAlignment="1">
      <alignment horizontal="center"/>
    </xf>
    <xf numFmtId="0" fontId="31" fillId="15" borderId="3" xfId="6" applyFont="1" applyFill="1" applyBorder="1" applyAlignment="1">
      <alignment horizontal="center"/>
    </xf>
    <xf numFmtId="0" fontId="24" fillId="14" borderId="1" xfId="7" applyFont="1" applyFill="1" applyBorder="1" applyAlignment="1">
      <alignment horizontal="center"/>
    </xf>
    <xf numFmtId="0" fontId="24" fillId="11" borderId="1" xfId="7" applyFont="1" applyFill="1" applyBorder="1" applyAlignment="1">
      <alignment horizontal="center"/>
    </xf>
    <xf numFmtId="0" fontId="9" fillId="0" borderId="3" xfId="6" applyFont="1" applyBorder="1" applyAlignment="1">
      <alignment horizontal="center"/>
    </xf>
    <xf numFmtId="174" fontId="9" fillId="0" borderId="3" xfId="8" applyNumberFormat="1" applyFont="1" applyBorder="1" applyAlignment="1">
      <alignment horizontal="center"/>
    </xf>
    <xf numFmtId="0" fontId="33" fillId="0" borderId="1" xfId="7" applyFont="1" applyBorder="1" applyAlignment="1">
      <alignment horizontal="center"/>
    </xf>
    <xf numFmtId="37" fontId="33" fillId="0" borderId="1" xfId="5" applyNumberFormat="1" applyFont="1" applyBorder="1" applyAlignment="1">
      <alignment horizontal="center"/>
    </xf>
    <xf numFmtId="5" fontId="33" fillId="0" borderId="1" xfId="5" applyNumberFormat="1" applyFont="1" applyBorder="1" applyAlignment="1">
      <alignment horizontal="center"/>
    </xf>
    <xf numFmtId="174" fontId="9" fillId="0" borderId="1" xfId="8" applyNumberFormat="1" applyFont="1" applyFill="1" applyBorder="1" applyAlignment="1">
      <alignment horizontal="center"/>
    </xf>
    <xf numFmtId="0" fontId="9" fillId="0" borderId="1" xfId="6" applyFont="1" applyBorder="1" applyAlignment="1">
      <alignment horizontal="center"/>
    </xf>
    <xf numFmtId="0" fontId="23" fillId="0" borderId="1" xfId="6" applyBorder="1"/>
    <xf numFmtId="0" fontId="23" fillId="4" borderId="1" xfId="6" applyFill="1" applyBorder="1"/>
    <xf numFmtId="0" fontId="26" fillId="10" borderId="2" xfId="4" applyFont="1" applyFill="1" applyBorder="1"/>
    <xf numFmtId="0" fontId="23" fillId="10" borderId="2" xfId="4" applyFill="1" applyBorder="1"/>
    <xf numFmtId="0" fontId="23" fillId="0" borderId="2" xfId="4" applyBorder="1"/>
    <xf numFmtId="3" fontId="34" fillId="0" borderId="0" xfId="4" applyNumberFormat="1" applyFont="1"/>
    <xf numFmtId="0" fontId="34" fillId="0" borderId="0" xfId="4" applyFont="1"/>
    <xf numFmtId="0" fontId="31" fillId="11" borderId="3" xfId="4" applyFont="1" applyFill="1" applyBorder="1"/>
    <xf numFmtId="0" fontId="35" fillId="0" borderId="0" xfId="4" applyFont="1"/>
    <xf numFmtId="0" fontId="9" fillId="0" borderId="3" xfId="4" applyFont="1" applyBorder="1"/>
    <xf numFmtId="176" fontId="9" fillId="0" borderId="3" xfId="9" applyNumberFormat="1" applyFont="1" applyBorder="1"/>
    <xf numFmtId="176" fontId="0" fillId="0" borderId="0" xfId="9" applyNumberFormat="1" applyFont="1"/>
    <xf numFmtId="0" fontId="35" fillId="0" borderId="3" xfId="4" applyFont="1" applyBorder="1"/>
    <xf numFmtId="0" fontId="27" fillId="0" borderId="3" xfId="4" applyFont="1" applyBorder="1"/>
    <xf numFmtId="3" fontId="27" fillId="10" borderId="3" xfId="4" applyNumberFormat="1" applyFont="1" applyFill="1" applyBorder="1"/>
    <xf numFmtId="0" fontId="27" fillId="0" borderId="0" xfId="4" applyFont="1" applyAlignment="1">
      <alignment horizontal="right"/>
    </xf>
    <xf numFmtId="0" fontId="27" fillId="16" borderId="3" xfId="4" applyFont="1" applyFill="1" applyBorder="1"/>
    <xf numFmtId="0" fontId="27" fillId="16" borderId="3" xfId="4" applyFont="1" applyFill="1" applyBorder="1" applyAlignment="1">
      <alignment horizontal="left"/>
    </xf>
    <xf numFmtId="176" fontId="27" fillId="0" borderId="3" xfId="4" applyNumberFormat="1" applyFont="1" applyBorder="1" applyAlignment="1">
      <alignment horizontal="left"/>
    </xf>
    <xf numFmtId="0" fontId="27" fillId="0" borderId="3" xfId="4" applyFont="1" applyBorder="1" applyAlignment="1">
      <alignment horizontal="right"/>
    </xf>
    <xf numFmtId="3" fontId="27" fillId="16" borderId="3" xfId="4" applyNumberFormat="1" applyFont="1" applyFill="1" applyBorder="1" applyAlignment="1">
      <alignment horizontal="left"/>
    </xf>
    <xf numFmtId="176" fontId="23" fillId="0" borderId="0" xfId="4" applyNumberFormat="1"/>
    <xf numFmtId="0" fontId="31" fillId="11" borderId="25" xfId="10" applyFont="1" applyFill="1" applyBorder="1" applyAlignment="1">
      <alignment horizontal="center"/>
    </xf>
    <xf numFmtId="0" fontId="31" fillId="0" borderId="0" xfId="10" applyFont="1" applyAlignment="1">
      <alignment horizontal="center"/>
    </xf>
    <xf numFmtId="0" fontId="31" fillId="11" borderId="1" xfId="10" applyFont="1" applyFill="1" applyBorder="1" applyAlignment="1">
      <alignment horizontal="center"/>
    </xf>
    <xf numFmtId="0" fontId="31" fillId="11" borderId="0" xfId="10" applyFont="1" applyFill="1" applyAlignment="1">
      <alignment horizontal="center"/>
    </xf>
    <xf numFmtId="0" fontId="37" fillId="0" borderId="1" xfId="10" applyFont="1" applyBorder="1" applyAlignment="1">
      <alignment horizontal="left" wrapText="1"/>
    </xf>
    <xf numFmtId="0" fontId="37" fillId="0" borderId="1" xfId="10" applyFont="1" applyBorder="1" applyAlignment="1">
      <alignment horizontal="left"/>
    </xf>
    <xf numFmtId="177" fontId="37" fillId="0" borderId="1" xfId="10" applyNumberFormat="1" applyFont="1" applyBorder="1" applyAlignment="1">
      <alignment horizontal="center" wrapText="1"/>
    </xf>
    <xf numFmtId="177" fontId="37" fillId="0" borderId="0" xfId="10" applyNumberFormat="1" applyFont="1" applyAlignment="1">
      <alignment horizontal="center" wrapText="1"/>
    </xf>
    <xf numFmtId="0" fontId="38" fillId="0" borderId="1" xfId="4" applyFont="1" applyBorder="1" applyAlignment="1">
      <alignment horizontal="center"/>
    </xf>
    <xf numFmtId="0" fontId="38" fillId="0" borderId="19" xfId="4" applyFont="1" applyBorder="1" applyAlignment="1">
      <alignment horizontal="center"/>
    </xf>
    <xf numFmtId="0" fontId="9" fillId="0" borderId="26" xfId="4" applyFont="1" applyBorder="1"/>
    <xf numFmtId="0" fontId="37" fillId="0" borderId="0" xfId="10" applyFont="1" applyAlignment="1">
      <alignment horizontal="left"/>
    </xf>
    <xf numFmtId="0" fontId="39" fillId="10" borderId="2" xfId="4" applyFont="1" applyFill="1" applyBorder="1"/>
    <xf numFmtId="0" fontId="40" fillId="10" borderId="2" xfId="4" applyFont="1" applyFill="1" applyBorder="1"/>
    <xf numFmtId="0" fontId="27" fillId="4" borderId="1" xfId="4" applyFont="1" applyFill="1" applyBorder="1" applyAlignment="1">
      <alignment horizontal="center" vertical="center"/>
    </xf>
    <xf numFmtId="0" fontId="29" fillId="17" borderId="1" xfId="11" applyFont="1" applyFill="1" applyBorder="1" applyAlignment="1">
      <alignment horizontal="center" vertical="center"/>
    </xf>
    <xf numFmtId="0" fontId="29" fillId="18" borderId="1" xfId="4" applyFont="1" applyFill="1" applyBorder="1" applyAlignment="1">
      <alignment horizontal="center"/>
    </xf>
    <xf numFmtId="0" fontId="29" fillId="18" borderId="1" xfId="11" applyFont="1" applyFill="1" applyBorder="1" applyAlignment="1">
      <alignment horizontal="center" vertical="center"/>
    </xf>
    <xf numFmtId="0" fontId="41" fillId="19" borderId="1" xfId="11" applyFont="1" applyFill="1" applyBorder="1" applyAlignment="1">
      <alignment horizontal="center" vertical="center" wrapText="1"/>
    </xf>
    <xf numFmtId="0" fontId="27" fillId="20" borderId="1" xfId="4" applyFont="1" applyFill="1" applyBorder="1"/>
    <xf numFmtId="0" fontId="27" fillId="4" borderId="1" xfId="4" applyFont="1" applyFill="1" applyBorder="1"/>
    <xf numFmtId="0" fontId="23" fillId="20" borderId="1" xfId="4" applyFill="1" applyBorder="1"/>
    <xf numFmtId="0" fontId="27" fillId="4" borderId="0" xfId="4" applyFont="1" applyFill="1"/>
    <xf numFmtId="0" fontId="29" fillId="18" borderId="16" xfId="11" applyFont="1" applyFill="1" applyBorder="1" applyAlignment="1">
      <alignment horizontal="center" vertical="center"/>
    </xf>
    <xf numFmtId="0" fontId="27" fillId="0" borderId="26" xfId="4" applyFont="1" applyBorder="1"/>
    <xf numFmtId="0" fontId="27" fillId="20" borderId="26" xfId="4" applyFont="1" applyFill="1" applyBorder="1"/>
    <xf numFmtId="0" fontId="29" fillId="17" borderId="16" xfId="11" applyFont="1" applyFill="1" applyBorder="1" applyAlignment="1">
      <alignment horizontal="center" vertical="center"/>
    </xf>
    <xf numFmtId="0" fontId="27" fillId="0" borderId="26" xfId="4" applyFont="1" applyBorder="1" applyAlignment="1">
      <alignment vertical="top" wrapText="1"/>
    </xf>
    <xf numFmtId="0" fontId="42" fillId="21" borderId="19" xfId="0" applyFont="1" applyFill="1" applyBorder="1" applyAlignment="1" applyProtection="1">
      <alignment horizontal="left" vertical="center"/>
      <protection locked="0"/>
    </xf>
    <xf numFmtId="0" fontId="0" fillId="21" borderId="0" xfId="0" applyFill="1" applyProtection="1">
      <protection locked="0"/>
    </xf>
    <xf numFmtId="0" fontId="0" fillId="0" borderId="0" xfId="0" applyProtection="1">
      <protection locked="0"/>
    </xf>
    <xf numFmtId="0" fontId="43" fillId="0" borderId="0" xfId="0" applyFont="1" applyProtection="1">
      <protection locked="0"/>
    </xf>
    <xf numFmtId="0" fontId="43" fillId="0" borderId="0" xfId="0" applyFont="1"/>
    <xf numFmtId="178" fontId="44" fillId="0" borderId="0" xfId="0" applyNumberFormat="1" applyFont="1" applyProtection="1">
      <protection locked="0"/>
    </xf>
    <xf numFmtId="178" fontId="44" fillId="0" borderId="0" xfId="0" applyNumberFormat="1" applyFont="1"/>
    <xf numFmtId="14" fontId="45" fillId="0" borderId="0" xfId="0" applyNumberFormat="1" applyFont="1" applyProtection="1">
      <protection locked="0"/>
    </xf>
    <xf numFmtId="178" fontId="45" fillId="0" borderId="0" xfId="0" applyNumberFormat="1" applyFont="1" applyProtection="1">
      <protection locked="0"/>
    </xf>
    <xf numFmtId="178" fontId="45" fillId="22" borderId="0" xfId="0" applyNumberFormat="1" applyFont="1" applyFill="1" applyProtection="1">
      <protection locked="0"/>
    </xf>
    <xf numFmtId="0" fontId="3" fillId="0" borderId="27" xfId="0" applyFont="1" applyBorder="1"/>
    <xf numFmtId="0" fontId="3" fillId="0" borderId="28" xfId="0" applyFont="1" applyBorder="1"/>
    <xf numFmtId="0" fontId="3" fillId="0" borderId="29" xfId="0" applyFont="1" applyBorder="1"/>
    <xf numFmtId="0" fontId="3" fillId="0" borderId="0" xfId="0" applyFont="1"/>
    <xf numFmtId="0" fontId="3" fillId="0" borderId="30" xfId="0" applyFont="1" applyBorder="1"/>
    <xf numFmtId="0" fontId="3" fillId="0" borderId="31" xfId="0" applyFont="1" applyBorder="1"/>
    <xf numFmtId="0" fontId="3" fillId="0" borderId="32" xfId="0" applyFont="1" applyBorder="1"/>
    <xf numFmtId="0" fontId="0" fillId="0" borderId="21" xfId="0" applyBorder="1"/>
    <xf numFmtId="0" fontId="0" fillId="0" borderId="19" xfId="0" applyBorder="1"/>
    <xf numFmtId="0" fontId="0" fillId="0" borderId="33" xfId="0" applyBorder="1"/>
    <xf numFmtId="174" fontId="0" fillId="0" borderId="0" xfId="12" applyNumberFormat="1" applyFont="1" applyBorder="1"/>
    <xf numFmtId="0" fontId="0" fillId="0" borderId="34" xfId="0" applyBorder="1"/>
    <xf numFmtId="0" fontId="0" fillId="0" borderId="29" xfId="0" applyBorder="1"/>
    <xf numFmtId="174" fontId="0" fillId="0" borderId="2" xfId="12" applyNumberFormat="1" applyFont="1" applyBorder="1"/>
    <xf numFmtId="0" fontId="0" fillId="0" borderId="27" xfId="0" applyBorder="1"/>
    <xf numFmtId="0" fontId="0" fillId="0" borderId="32" xfId="0" applyBorder="1"/>
    <xf numFmtId="0" fontId="0" fillId="0" borderId="16" xfId="0" applyBorder="1"/>
    <xf numFmtId="0" fontId="0" fillId="0" borderId="30" xfId="0" applyBorder="1"/>
    <xf numFmtId="0" fontId="42" fillId="21" borderId="19" xfId="0" applyFont="1" applyFill="1" applyBorder="1" applyAlignment="1">
      <alignment horizontal="left" vertical="center"/>
    </xf>
    <xf numFmtId="0" fontId="0" fillId="21" borderId="0" xfId="0" applyFill="1"/>
    <xf numFmtId="0" fontId="2" fillId="21" borderId="20" xfId="0" applyFont="1" applyFill="1" applyBorder="1" applyAlignment="1">
      <alignment horizontal="center" vertical="center"/>
    </xf>
    <xf numFmtId="0" fontId="2" fillId="21" borderId="20" xfId="0" applyFont="1" applyFill="1" applyBorder="1" applyAlignment="1">
      <alignment vertical="center"/>
    </xf>
    <xf numFmtId="0" fontId="2" fillId="21" borderId="21" xfId="0" applyFont="1" applyFill="1" applyBorder="1" applyAlignment="1">
      <alignment vertical="center"/>
    </xf>
    <xf numFmtId="0" fontId="2" fillId="21" borderId="0" xfId="0" applyFont="1" applyFill="1" applyAlignment="1">
      <alignment horizontal="center" vertical="center"/>
    </xf>
    <xf numFmtId="0" fontId="2" fillId="21" borderId="0" xfId="0" applyFont="1" applyFill="1" applyAlignment="1">
      <alignment vertical="center"/>
    </xf>
    <xf numFmtId="0" fontId="2" fillId="21" borderId="0" xfId="0" applyFont="1" applyFill="1" applyAlignment="1">
      <alignment horizontal="left" vertical="center"/>
    </xf>
    <xf numFmtId="0" fontId="47" fillId="23" borderId="0" xfId="3" applyFont="1" applyFill="1"/>
    <xf numFmtId="0" fontId="47" fillId="23" borderId="0" xfId="3" applyFont="1" applyFill="1" applyAlignment="1">
      <alignment horizontal="right"/>
    </xf>
    <xf numFmtId="0" fontId="48" fillId="23" borderId="0" xfId="3" applyFont="1" applyFill="1" applyAlignment="1">
      <alignment horizontal="right"/>
    </xf>
    <xf numFmtId="179" fontId="0" fillId="0" borderId="0" xfId="0" applyNumberFormat="1"/>
    <xf numFmtId="0" fontId="48" fillId="23" borderId="0" xfId="3" applyFont="1" applyFill="1"/>
    <xf numFmtId="0" fontId="0" fillId="21" borderId="0" xfId="0" applyFill="1" applyAlignment="1">
      <alignment horizontal="center"/>
    </xf>
    <xf numFmtId="0" fontId="0" fillId="0" borderId="0" xfId="0" applyAlignment="1">
      <alignment horizontal="center"/>
    </xf>
    <xf numFmtId="0" fontId="4" fillId="2" borderId="0" xfId="3"/>
    <xf numFmtId="0" fontId="47" fillId="23" borderId="0" xfId="3" applyFont="1" applyFill="1" applyAlignment="1">
      <alignment horizontal="center"/>
    </xf>
    <xf numFmtId="0" fontId="48" fillId="23" borderId="0" xfId="3" applyFont="1" applyFill="1" applyAlignment="1">
      <alignment horizontal="center"/>
    </xf>
    <xf numFmtId="0" fontId="49" fillId="0" borderId="0" xfId="13"/>
    <xf numFmtId="0" fontId="46" fillId="24" borderId="35" xfId="11" applyFont="1" applyFill="1" applyBorder="1" applyAlignment="1">
      <alignment horizontal="center" vertical="center"/>
    </xf>
    <xf numFmtId="0" fontId="36" fillId="0" borderId="36" xfId="11" applyBorder="1" applyAlignment="1">
      <alignment horizontal="center" vertical="center" wrapText="1"/>
    </xf>
    <xf numFmtId="180" fontId="36" fillId="0" borderId="36" xfId="11" applyNumberFormat="1" applyBorder="1" applyAlignment="1">
      <alignment horizontal="center" vertical="center" wrapText="1"/>
    </xf>
    <xf numFmtId="44" fontId="0" fillId="0" borderId="0" xfId="5" applyFont="1"/>
    <xf numFmtId="0" fontId="23" fillId="10" borderId="1" xfId="4" applyFill="1" applyBorder="1"/>
    <xf numFmtId="0" fontId="46" fillId="24" borderId="7" xfId="11" applyFont="1" applyFill="1" applyBorder="1" applyAlignment="1">
      <alignment horizontal="center" vertical="center"/>
    </xf>
    <xf numFmtId="0" fontId="46" fillId="24" borderId="8" xfId="11" applyFont="1" applyFill="1" applyBorder="1" applyAlignment="1">
      <alignment horizontal="center" vertical="center"/>
    </xf>
    <xf numFmtId="0" fontId="46" fillId="0" borderId="0" xfId="11" applyFont="1" applyAlignment="1">
      <alignment horizontal="center" vertical="center"/>
    </xf>
    <xf numFmtId="0" fontId="36" fillId="0" borderId="11" xfId="11" applyBorder="1" applyAlignment="1">
      <alignment horizontal="center" vertical="center" wrapText="1"/>
    </xf>
    <xf numFmtId="0" fontId="23" fillId="0" borderId="1" xfId="4" applyBorder="1" applyAlignment="1">
      <alignment horizontal="center"/>
    </xf>
    <xf numFmtId="44" fontId="0" fillId="0" borderId="0" xfId="5" applyFont="1" applyBorder="1" applyAlignment="1">
      <alignment horizontal="center"/>
    </xf>
    <xf numFmtId="0" fontId="36" fillId="0" borderId="15" xfId="11" applyBorder="1" applyAlignment="1">
      <alignment horizontal="center" vertical="center" wrapText="1"/>
    </xf>
    <xf numFmtId="0" fontId="36" fillId="0" borderId="1" xfId="11" applyBorder="1" applyAlignment="1">
      <alignment horizontal="center" vertical="center" wrapText="1"/>
    </xf>
    <xf numFmtId="0" fontId="23" fillId="0" borderId="1" xfId="4" applyBorder="1"/>
    <xf numFmtId="0" fontId="12" fillId="10" borderId="2" xfId="4" applyFont="1" applyFill="1" applyBorder="1"/>
    <xf numFmtId="0" fontId="23" fillId="0" borderId="0" xfId="4" applyAlignment="1">
      <alignment horizontal="center"/>
    </xf>
    <xf numFmtId="0" fontId="23" fillId="10" borderId="1" xfId="4" applyFill="1" applyBorder="1" applyAlignment="1">
      <alignment horizontal="center" vertical="center"/>
    </xf>
    <xf numFmtId="15" fontId="23" fillId="10" borderId="1" xfId="4" applyNumberFormat="1" applyFill="1" applyBorder="1" applyAlignment="1">
      <alignment horizontal="center" vertical="center"/>
    </xf>
    <xf numFmtId="15" fontId="23" fillId="25" borderId="1" xfId="4" applyNumberFormat="1" applyFill="1" applyBorder="1" applyAlignment="1">
      <alignment horizontal="center" vertical="center"/>
    </xf>
    <xf numFmtId="0" fontId="23" fillId="25" borderId="1" xfId="4" applyFill="1" applyBorder="1" applyAlignment="1">
      <alignment horizontal="center" vertical="center"/>
    </xf>
    <xf numFmtId="0" fontId="23" fillId="25" borderId="1" xfId="4" applyFill="1" applyBorder="1" applyAlignment="1">
      <alignment horizontal="center"/>
    </xf>
    <xf numFmtId="181" fontId="23" fillId="25" borderId="1" xfId="4" applyNumberFormat="1" applyFill="1" applyBorder="1" applyAlignment="1">
      <alignment horizontal="center"/>
    </xf>
    <xf numFmtId="181" fontId="23" fillId="25" borderId="1" xfId="4" applyNumberFormat="1" applyFill="1" applyBorder="1" applyAlignment="1">
      <alignment horizontal="center" vertical="center"/>
    </xf>
    <xf numFmtId="1" fontId="23" fillId="0" borderId="0" xfId="4" applyNumberFormat="1"/>
    <xf numFmtId="15" fontId="23" fillId="0" borderId="0" xfId="4" applyNumberFormat="1"/>
    <xf numFmtId="0" fontId="28" fillId="0" borderId="1" xfId="4" applyFont="1" applyBorder="1"/>
    <xf numFmtId="0" fontId="51" fillId="0" borderId="1" xfId="4" applyFont="1" applyBorder="1"/>
    <xf numFmtId="9" fontId="23" fillId="0" borderId="0" xfId="2" applyFont="1" applyBorder="1"/>
    <xf numFmtId="0" fontId="28" fillId="0" borderId="6" xfId="4" applyFont="1" applyBorder="1" applyAlignment="1">
      <alignment horizontal="right"/>
    </xf>
    <xf numFmtId="44" fontId="29" fillId="11" borderId="37" xfId="5" applyFont="1" applyFill="1" applyBorder="1"/>
    <xf numFmtId="9" fontId="23" fillId="0" borderId="1" xfId="2" applyFont="1" applyBorder="1"/>
    <xf numFmtId="0" fontId="28" fillId="26" borderId="0" xfId="4" applyFont="1" applyFill="1" applyAlignment="1">
      <alignment horizontal="center"/>
    </xf>
    <xf numFmtId="0" fontId="28" fillId="10" borderId="0" xfId="4" applyFont="1" applyFill="1" applyAlignment="1">
      <alignment horizontal="center"/>
    </xf>
    <xf numFmtId="9" fontId="23" fillId="0" borderId="0" xfId="2" applyFont="1"/>
    <xf numFmtId="0" fontId="30" fillId="11" borderId="18" xfId="4" applyFont="1" applyFill="1" applyBorder="1" applyAlignment="1">
      <alignment horizontal="right"/>
    </xf>
    <xf numFmtId="174" fontId="27" fillId="10" borderId="1" xfId="4" applyNumberFormat="1" applyFont="1" applyFill="1" applyBorder="1"/>
    <xf numFmtId="174" fontId="27" fillId="10" borderId="1" xfId="5" applyNumberFormat="1" applyFont="1" applyFill="1" applyBorder="1"/>
    <xf numFmtId="0" fontId="23" fillId="0" borderId="0" xfId="4" applyAlignment="1">
      <alignment horizontal="center" vertical="top" wrapText="1"/>
    </xf>
    <xf numFmtId="0" fontId="52" fillId="27" borderId="0" xfId="0" applyFont="1" applyFill="1" applyAlignment="1">
      <alignment horizontal="centerContinuous"/>
    </xf>
    <xf numFmtId="0" fontId="0" fillId="27" borderId="0" xfId="0" applyFill="1" applyAlignment="1">
      <alignment horizontal="centerContinuous"/>
    </xf>
    <xf numFmtId="0" fontId="0" fillId="0" borderId="1" xfId="0" applyBorder="1" applyAlignment="1">
      <alignment vertical="center"/>
    </xf>
    <xf numFmtId="0" fontId="36" fillId="0" borderId="19" xfId="11" applyBorder="1" applyAlignment="1">
      <alignment horizontal="center" vertical="center" wrapText="1"/>
    </xf>
    <xf numFmtId="0" fontId="28" fillId="10" borderId="5" xfId="4" applyFont="1" applyFill="1" applyBorder="1" applyAlignment="1">
      <alignment horizontal="center"/>
    </xf>
    <xf numFmtId="0" fontId="26" fillId="0" borderId="14" xfId="4" applyFont="1" applyBorder="1" applyAlignment="1">
      <alignment horizontal="center" vertical="top" wrapText="1"/>
    </xf>
    <xf numFmtId="0" fontId="26" fillId="0" borderId="0" xfId="4" applyFont="1" applyAlignment="1">
      <alignment horizontal="center" vertical="top" wrapText="1"/>
    </xf>
    <xf numFmtId="0" fontId="29" fillId="11" borderId="19" xfId="4" applyFont="1" applyFill="1" applyBorder="1" applyAlignment="1">
      <alignment horizontal="right" vertical="center" wrapText="1"/>
    </xf>
    <xf numFmtId="0" fontId="29" fillId="11" borderId="20" xfId="4" applyFont="1" applyFill="1" applyBorder="1" applyAlignment="1">
      <alignment horizontal="right" vertical="center" wrapText="1"/>
    </xf>
    <xf numFmtId="0" fontId="29" fillId="11" borderId="21" xfId="4" applyFont="1" applyFill="1" applyBorder="1" applyAlignment="1">
      <alignment horizontal="right" vertical="center" wrapText="1"/>
    </xf>
    <xf numFmtId="0" fontId="18" fillId="10" borderId="22" xfId="4" applyFont="1" applyFill="1" applyBorder="1" applyAlignment="1">
      <alignment horizontal="center"/>
    </xf>
    <xf numFmtId="0" fontId="18" fillId="10" borderId="23" xfId="4" applyFont="1" applyFill="1" applyBorder="1" applyAlignment="1">
      <alignment horizontal="center"/>
    </xf>
    <xf numFmtId="0" fontId="18" fillId="10" borderId="24" xfId="4" applyFont="1" applyFill="1" applyBorder="1" applyAlignment="1">
      <alignment horizontal="center"/>
    </xf>
    <xf numFmtId="0" fontId="26" fillId="0" borderId="31" xfId="4" applyFont="1" applyBorder="1" applyAlignment="1">
      <alignment horizontal="center" vertical="top" wrapText="1"/>
    </xf>
    <xf numFmtId="0" fontId="23" fillId="0" borderId="31" xfId="4" applyBorder="1" applyAlignment="1">
      <alignment horizontal="center" vertical="top" wrapText="1"/>
    </xf>
    <xf numFmtId="0" fontId="23" fillId="0" borderId="0" xfId="4" applyAlignment="1">
      <alignment horizontal="center" vertical="top" wrapText="1"/>
    </xf>
  </cellXfs>
  <cellStyles count="15">
    <cellStyle name="Accent1" xfId="3" builtinId="29"/>
    <cellStyle name="Accent1 2" xfId="14" xr:uid="{C40AE417-1156-4AB1-9316-1D4CAC27796F}"/>
    <cellStyle name="Comma" xfId="1" builtinId="3"/>
    <cellStyle name="Comma 2" xfId="9" xr:uid="{7BFF6549-7040-46DD-B5DD-E33266C5283A}"/>
    <cellStyle name="Currency 2" xfId="5" xr:uid="{20165C77-7DF8-4DFF-BB39-BD7789402127}"/>
    <cellStyle name="Currency 3" xfId="12" xr:uid="{AA2A0369-2B06-4BAA-A4E8-7B38DFC5ABB1}"/>
    <cellStyle name="Currency_Book1" xfId="8" xr:uid="{A8967F0A-EBF3-43B7-9AE6-A409D84AFD1C}"/>
    <cellStyle name="Hyperlink" xfId="13" builtinId="8"/>
    <cellStyle name="Normal" xfId="0" builtinId="0"/>
    <cellStyle name="Normal 2" xfId="4" xr:uid="{4ED10F97-599D-4A6C-BAF3-95468FED483F}"/>
    <cellStyle name="Normal_Book1" xfId="6" xr:uid="{7FC4BBC4-8436-44E8-9463-5C74EE47CC19}"/>
    <cellStyle name="Normal_Course File" xfId="7" xr:uid="{5935F792-E389-4761-A12B-B81F48CB13FA}"/>
    <cellStyle name="Normal_Sheet1_1" xfId="11" xr:uid="{626BB775-4DBC-4146-B34B-20B9F9ECF9A8}"/>
    <cellStyle name="Normal_Sheet6" xfId="10" xr:uid="{B7E87572-3BB3-4A15-A9C9-4EA58743E2EC}"/>
    <cellStyle name="Percent" xfId="2" builtinId="5"/>
  </cellStyles>
  <dxfs count="24">
    <dxf>
      <font>
        <color rgb="FF9C0006"/>
      </font>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numFmt numFmtId="182"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Tw Cen MT"/>
        <family val="2"/>
        <scheme val="none"/>
      </font>
      <numFmt numFmtId="182" formatCode="dd/mm/yyyy"/>
      <protection locked="0" hidden="0"/>
    </dxf>
    <dxf>
      <font>
        <b val="0"/>
        <i val="0"/>
        <strike val="0"/>
        <condense val="0"/>
        <extend val="0"/>
        <outline val="0"/>
        <shadow val="0"/>
        <u val="none"/>
        <vertAlign val="baseline"/>
        <sz val="11"/>
        <color rgb="FF000000"/>
        <name val="Arial"/>
        <family val="2"/>
        <scheme val="none"/>
      </font>
      <numFmt numFmtId="178" formatCode="_-[$$-409]* #,##0.00_ ;_-[$$-409]* \-#,##0.00\ ;_-[$$-409]* &quot;-&quot;??_ ;_-@_ "/>
      <protection locked="1" hidden="0"/>
    </dxf>
    <dxf>
      <font>
        <b val="0"/>
        <i val="0"/>
        <strike val="0"/>
        <condense val="0"/>
        <extend val="0"/>
        <outline val="0"/>
        <shadow val="0"/>
        <u val="none"/>
        <vertAlign val="baseline"/>
        <sz val="11"/>
        <color rgb="FF000000"/>
        <name val="Arial"/>
        <family val="2"/>
        <scheme val="none"/>
      </font>
      <numFmt numFmtId="178" formatCode="_-[$$-409]* #,##0.00_ ;_-[$$-409]* \-#,##0.00\ ;_-[$$-409]* &quot;-&quot;??_ ;_-@_ "/>
      <protection locked="0" hidden="0"/>
    </dxf>
    <dxf>
      <font>
        <b val="0"/>
        <i val="0"/>
        <strike val="0"/>
        <condense val="0"/>
        <extend val="0"/>
        <outline val="0"/>
        <shadow val="0"/>
        <u val="none"/>
        <vertAlign val="baseline"/>
        <sz val="11"/>
        <color rgb="FF000000"/>
        <name val="Arial"/>
        <family val="2"/>
        <scheme val="none"/>
      </font>
      <numFmt numFmtId="178" formatCode="_-[$$-409]* #,##0.00_ ;_-[$$-409]* \-#,##0.00\ ;_-[$$-409]* &quot;-&quot;??_ ;_-@_ "/>
      <protection locked="0" hidden="0"/>
    </dxf>
    <dxf>
      <font>
        <b val="0"/>
        <i val="0"/>
        <strike val="0"/>
        <condense val="0"/>
        <extend val="0"/>
        <outline val="0"/>
        <shadow val="0"/>
        <u val="none"/>
        <vertAlign val="baseline"/>
        <sz val="11"/>
        <color theme="1"/>
        <name val="Arial"/>
        <family val="2"/>
        <scheme val="none"/>
      </font>
      <protection locked="0" hidden="0"/>
    </dxf>
    <dxf>
      <font>
        <b val="0"/>
        <i val="0"/>
        <strike val="0"/>
        <condense val="0"/>
        <extend val="0"/>
        <outline val="0"/>
        <shadow val="0"/>
        <u val="none"/>
        <vertAlign val="baseline"/>
        <sz val="11"/>
        <color theme="1"/>
        <name val="Arial"/>
        <family val="2"/>
        <scheme val="none"/>
      </font>
      <protection locked="0" hidden="0"/>
    </dxf>
    <dxf>
      <font>
        <b val="0"/>
        <i val="0"/>
        <strike val="0"/>
        <condense val="0"/>
        <extend val="0"/>
        <outline val="0"/>
        <shadow val="0"/>
        <u val="none"/>
        <vertAlign val="baseline"/>
        <sz val="11"/>
        <color rgb="FF000000"/>
        <name val="Arial"/>
        <family val="2"/>
        <scheme val="none"/>
      </font>
      <protection locked="0" hidden="0"/>
    </dxf>
    <dxf>
      <font>
        <b val="0"/>
        <i val="0"/>
        <strike val="0"/>
        <condense val="0"/>
        <extend val="0"/>
        <outline val="0"/>
        <shadow val="0"/>
        <u val="none"/>
        <vertAlign val="baseline"/>
        <sz val="11"/>
        <color theme="1"/>
        <name val="Arial"/>
        <family val="2"/>
        <scheme val="none"/>
      </font>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SecondaryAxis!$A$5</c:f>
              <c:strCache>
                <c:ptCount val="1"/>
                <c:pt idx="0">
                  <c:v>Average Rainfall (mm)</c:v>
                </c:pt>
              </c:strCache>
            </c:strRef>
          </c:tx>
          <c:spPr>
            <a:ln w="28575" cap="rnd">
              <a:solidFill>
                <a:schemeClr val="accent2"/>
              </a:solidFill>
              <a:round/>
            </a:ln>
            <a:effectLst/>
          </c:spPr>
          <c:marker>
            <c:symbol val="none"/>
          </c:marker>
          <c:cat>
            <c:strRef>
              <c:f>SecondaryAxis!$B$3:$M$3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SecondaryAxis!$B$5:$M$5</c:f>
              <c:numCache>
                <c:formatCode>General</c:formatCode>
                <c:ptCount val="12"/>
                <c:pt idx="0">
                  <c:v>90</c:v>
                </c:pt>
                <c:pt idx="1">
                  <c:v>70</c:v>
                </c:pt>
                <c:pt idx="2">
                  <c:v>80</c:v>
                </c:pt>
                <c:pt idx="3">
                  <c:v>50</c:v>
                </c:pt>
                <c:pt idx="4">
                  <c:v>89</c:v>
                </c:pt>
                <c:pt idx="5">
                  <c:v>79</c:v>
                </c:pt>
                <c:pt idx="6">
                  <c:v>88</c:v>
                </c:pt>
                <c:pt idx="7">
                  <c:v>87</c:v>
                </c:pt>
                <c:pt idx="8">
                  <c:v>60</c:v>
                </c:pt>
                <c:pt idx="9">
                  <c:v>95</c:v>
                </c:pt>
                <c:pt idx="10">
                  <c:v>93</c:v>
                </c:pt>
                <c:pt idx="11">
                  <c:v>77</c:v>
                </c:pt>
              </c:numCache>
            </c:numRef>
          </c:val>
          <c:smooth val="0"/>
          <c:extLst>
            <c:ext xmlns:c16="http://schemas.microsoft.com/office/drawing/2014/chart" uri="{C3380CC4-5D6E-409C-BE32-E72D297353CC}">
              <c16:uniqueId val="{00000000-8C7E-4959-99BE-86DF46022817}"/>
            </c:ext>
          </c:extLst>
        </c:ser>
        <c:dLbls>
          <c:showLegendKey val="0"/>
          <c:showVal val="0"/>
          <c:showCatName val="0"/>
          <c:showSerName val="0"/>
          <c:showPercent val="0"/>
          <c:showBubbleSize val="0"/>
        </c:dLbls>
        <c:marker val="1"/>
        <c:smooth val="0"/>
        <c:axId val="499121775"/>
        <c:axId val="499139055"/>
      </c:lineChart>
      <c:lineChart>
        <c:grouping val="standard"/>
        <c:varyColors val="0"/>
        <c:ser>
          <c:idx val="0"/>
          <c:order val="0"/>
          <c:tx>
            <c:strRef>
              <c:f>SecondaryAxis!$A$4</c:f>
              <c:strCache>
                <c:ptCount val="1"/>
                <c:pt idx="0">
                  <c:v>Average Temperature(oC)</c:v>
                </c:pt>
              </c:strCache>
            </c:strRef>
          </c:tx>
          <c:spPr>
            <a:ln w="28575" cap="rnd">
              <a:solidFill>
                <a:schemeClr val="accent1"/>
              </a:solidFill>
              <a:round/>
            </a:ln>
            <a:effectLst/>
          </c:spPr>
          <c:marker>
            <c:symbol val="none"/>
          </c:marker>
          <c:cat>
            <c:strRef>
              <c:f>SecondaryAxis!$B$3:$M$3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SecondaryAxis!$B$4:$M$4</c:f>
              <c:numCache>
                <c:formatCode>General</c:formatCode>
                <c:ptCount val="12"/>
                <c:pt idx="0">
                  <c:v>6</c:v>
                </c:pt>
                <c:pt idx="1">
                  <c:v>7</c:v>
                </c:pt>
                <c:pt idx="2">
                  <c:v>12</c:v>
                </c:pt>
                <c:pt idx="3">
                  <c:v>21</c:v>
                </c:pt>
                <c:pt idx="4">
                  <c:v>24</c:v>
                </c:pt>
                <c:pt idx="5">
                  <c:v>25</c:v>
                </c:pt>
                <c:pt idx="6">
                  <c:v>22</c:v>
                </c:pt>
                <c:pt idx="7">
                  <c:v>21</c:v>
                </c:pt>
                <c:pt idx="8">
                  <c:v>19</c:v>
                </c:pt>
                <c:pt idx="9">
                  <c:v>12</c:v>
                </c:pt>
                <c:pt idx="10">
                  <c:v>7</c:v>
                </c:pt>
                <c:pt idx="11">
                  <c:v>2</c:v>
                </c:pt>
              </c:numCache>
            </c:numRef>
          </c:val>
          <c:smooth val="0"/>
          <c:extLst>
            <c:ext xmlns:c16="http://schemas.microsoft.com/office/drawing/2014/chart" uri="{C3380CC4-5D6E-409C-BE32-E72D297353CC}">
              <c16:uniqueId val="{00000001-8C7E-4959-99BE-86DF46022817}"/>
            </c:ext>
          </c:extLst>
        </c:ser>
        <c:dLbls>
          <c:showLegendKey val="0"/>
          <c:showVal val="0"/>
          <c:showCatName val="0"/>
          <c:showSerName val="0"/>
          <c:showPercent val="0"/>
          <c:showBubbleSize val="0"/>
        </c:dLbls>
        <c:marker val="1"/>
        <c:smooth val="0"/>
        <c:axId val="1607551392"/>
        <c:axId val="1607561472"/>
      </c:lineChart>
      <c:catAx>
        <c:axId val="49912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39055"/>
        <c:crosses val="autoZero"/>
        <c:auto val="1"/>
        <c:lblAlgn val="ctr"/>
        <c:lblOffset val="100"/>
        <c:noMultiLvlLbl val="0"/>
      </c:catAx>
      <c:valAx>
        <c:axId val="4991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1775"/>
        <c:crosses val="autoZero"/>
        <c:crossBetween val="between"/>
      </c:valAx>
      <c:valAx>
        <c:axId val="16075614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51392"/>
        <c:crosses val="max"/>
        <c:crossBetween val="between"/>
      </c:valAx>
      <c:catAx>
        <c:axId val="1607551392"/>
        <c:scaling>
          <c:orientation val="minMax"/>
        </c:scaling>
        <c:delete val="1"/>
        <c:axPos val="b"/>
        <c:numFmt formatCode="General" sourceLinked="1"/>
        <c:majorTickMark val="out"/>
        <c:minorTickMark val="none"/>
        <c:tickLblPos val="nextTo"/>
        <c:crossAx val="16075614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SecondaryAxis!$A$4</c:f>
              <c:strCache>
                <c:ptCount val="1"/>
                <c:pt idx="0">
                  <c:v>Average Temperature(oC)</c:v>
                </c:pt>
              </c:strCache>
            </c:strRef>
          </c:tx>
          <c:spPr>
            <a:ln w="28575" cap="rnd">
              <a:solidFill>
                <a:schemeClr val="accent1"/>
              </a:solidFill>
              <a:round/>
            </a:ln>
            <a:effectLst/>
          </c:spPr>
          <c:marker>
            <c:symbol val="none"/>
          </c:marker>
          <c:cat>
            <c:strRef>
              <c:f>SecondaryAxis!$B$3:$M$3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SecondaryAxis!$B$4:$M$4</c:f>
              <c:numCache>
                <c:formatCode>General</c:formatCode>
                <c:ptCount val="12"/>
                <c:pt idx="0">
                  <c:v>6</c:v>
                </c:pt>
                <c:pt idx="1">
                  <c:v>7</c:v>
                </c:pt>
                <c:pt idx="2">
                  <c:v>12</c:v>
                </c:pt>
                <c:pt idx="3">
                  <c:v>21</c:v>
                </c:pt>
                <c:pt idx="4">
                  <c:v>24</c:v>
                </c:pt>
                <c:pt idx="5">
                  <c:v>25</c:v>
                </c:pt>
                <c:pt idx="6">
                  <c:v>22</c:v>
                </c:pt>
                <c:pt idx="7">
                  <c:v>21</c:v>
                </c:pt>
                <c:pt idx="8">
                  <c:v>19</c:v>
                </c:pt>
                <c:pt idx="9">
                  <c:v>12</c:v>
                </c:pt>
                <c:pt idx="10">
                  <c:v>7</c:v>
                </c:pt>
                <c:pt idx="11">
                  <c:v>2</c:v>
                </c:pt>
              </c:numCache>
            </c:numRef>
          </c:val>
          <c:smooth val="0"/>
          <c:extLst>
            <c:ext xmlns:c16="http://schemas.microsoft.com/office/drawing/2014/chart" uri="{C3380CC4-5D6E-409C-BE32-E72D297353CC}">
              <c16:uniqueId val="{00000000-F325-4A02-93C7-5D6E9738BE4E}"/>
            </c:ext>
          </c:extLst>
        </c:ser>
        <c:ser>
          <c:idx val="1"/>
          <c:order val="1"/>
          <c:tx>
            <c:strRef>
              <c:f>SecondaryAxis!$A$5</c:f>
              <c:strCache>
                <c:ptCount val="1"/>
                <c:pt idx="0">
                  <c:v>Average Rainfall (mm)</c:v>
                </c:pt>
              </c:strCache>
            </c:strRef>
          </c:tx>
          <c:spPr>
            <a:ln w="28575" cap="rnd">
              <a:solidFill>
                <a:schemeClr val="accent2"/>
              </a:solidFill>
              <a:round/>
            </a:ln>
            <a:effectLst/>
          </c:spPr>
          <c:marker>
            <c:symbol val="none"/>
          </c:marker>
          <c:cat>
            <c:strRef>
              <c:f>SecondaryAxis!$B$3:$M$3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SecondaryAxis!$B$5:$M$5</c:f>
              <c:numCache>
                <c:formatCode>General</c:formatCode>
                <c:ptCount val="12"/>
                <c:pt idx="0">
                  <c:v>90</c:v>
                </c:pt>
                <c:pt idx="1">
                  <c:v>70</c:v>
                </c:pt>
                <c:pt idx="2">
                  <c:v>80</c:v>
                </c:pt>
                <c:pt idx="3">
                  <c:v>50</c:v>
                </c:pt>
                <c:pt idx="4">
                  <c:v>89</c:v>
                </c:pt>
                <c:pt idx="5">
                  <c:v>79</c:v>
                </c:pt>
                <c:pt idx="6">
                  <c:v>88</c:v>
                </c:pt>
                <c:pt idx="7">
                  <c:v>87</c:v>
                </c:pt>
                <c:pt idx="8">
                  <c:v>60</c:v>
                </c:pt>
                <c:pt idx="9">
                  <c:v>95</c:v>
                </c:pt>
                <c:pt idx="10">
                  <c:v>93</c:v>
                </c:pt>
                <c:pt idx="11">
                  <c:v>77</c:v>
                </c:pt>
              </c:numCache>
            </c:numRef>
          </c:val>
          <c:smooth val="0"/>
          <c:extLst>
            <c:ext xmlns:c16="http://schemas.microsoft.com/office/drawing/2014/chart" uri="{C3380CC4-5D6E-409C-BE32-E72D297353CC}">
              <c16:uniqueId val="{00000001-F325-4A02-93C7-5D6E9738BE4E}"/>
            </c:ext>
          </c:extLst>
        </c:ser>
        <c:dLbls>
          <c:showLegendKey val="0"/>
          <c:showVal val="0"/>
          <c:showCatName val="0"/>
          <c:showSerName val="0"/>
          <c:showPercent val="0"/>
          <c:showBubbleSize val="0"/>
        </c:dLbls>
        <c:smooth val="0"/>
        <c:axId val="1607541792"/>
        <c:axId val="1607554752"/>
      </c:lineChart>
      <c:catAx>
        <c:axId val="16075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54752"/>
        <c:crosses val="autoZero"/>
        <c:auto val="1"/>
        <c:lblAlgn val="ctr"/>
        <c:lblOffset val="100"/>
        <c:noMultiLvlLbl val="0"/>
      </c:catAx>
      <c:valAx>
        <c:axId val="160755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4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bg1"/>
                </a:solidFill>
                <a:latin typeface="Arial" panose="020B0604020202020204" pitchFamily="34" charset="0"/>
                <a:ea typeface="+mn-ea"/>
                <a:cs typeface="+mn-cs"/>
              </a:defRPr>
            </a:pPr>
            <a:r>
              <a:rPr lang="en-IN" sz="1500" baseline="0">
                <a:solidFill>
                  <a:schemeClr val="bg1"/>
                </a:solidFill>
                <a:latin typeface="Arial" panose="020B0604020202020204" pitchFamily="34" charset="0"/>
              </a:rPr>
              <a:t>Profit by Market &amp; Cookie type</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bg1"/>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Chocolate Chip</c:v>
          </c:tx>
          <c:spPr>
            <a:solidFill>
              <a:schemeClr val="accent2">
                <a:lumMod val="60000"/>
                <a:lumOff val="40000"/>
              </a:schemeClr>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234576</c:v>
              </c:pt>
              <c:pt idx="1">
                <c:v>214821</c:v>
              </c:pt>
              <c:pt idx="2">
                <c:v>208404</c:v>
              </c:pt>
              <c:pt idx="3">
                <c:v>189846</c:v>
              </c:pt>
              <c:pt idx="4">
                <c:v>167082</c:v>
              </c:pt>
            </c:numLit>
          </c:val>
          <c:extLst>
            <c:ext xmlns:c16="http://schemas.microsoft.com/office/drawing/2014/chart" uri="{C3380CC4-5D6E-409C-BE32-E72D297353CC}">
              <c16:uniqueId val="{00000000-1C24-46A8-A323-1476D5FB4AD2}"/>
            </c:ext>
          </c:extLst>
        </c:ser>
        <c:ser>
          <c:idx val="1"/>
          <c:order val="1"/>
          <c:tx>
            <c:v>Fortune Cookie</c:v>
          </c:tx>
          <c:spPr>
            <a:solidFill>
              <a:srgbClr val="FFC000"/>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25192.000000000004</c:v>
              </c:pt>
              <c:pt idx="1">
                <c:v>25026.399999999998</c:v>
              </c:pt>
              <c:pt idx="2">
                <c:v>25290.400000000001</c:v>
              </c:pt>
              <c:pt idx="3">
                <c:v>25403.200000000001</c:v>
              </c:pt>
              <c:pt idx="4">
                <c:v>22448.799999999999</c:v>
              </c:pt>
            </c:numLit>
          </c:val>
          <c:extLst>
            <c:ext xmlns:c16="http://schemas.microsoft.com/office/drawing/2014/chart" uri="{C3380CC4-5D6E-409C-BE32-E72D297353CC}">
              <c16:uniqueId val="{00000001-1C24-46A8-A323-1476D5FB4AD2}"/>
            </c:ext>
          </c:extLst>
        </c:ser>
        <c:ser>
          <c:idx val="2"/>
          <c:order val="2"/>
          <c:tx>
            <c:v>Oatmeal Raisin</c:v>
          </c:tx>
          <c:spPr>
            <a:solidFill>
              <a:schemeClr val="accent1">
                <a:lumMod val="60000"/>
                <a:lumOff val="40000"/>
              </a:schemeClr>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81852.399999999994</c:v>
              </c:pt>
              <c:pt idx="1">
                <c:v>88491.199999999997</c:v>
              </c:pt>
              <c:pt idx="2">
                <c:v>99316</c:v>
              </c:pt>
              <c:pt idx="3">
                <c:v>79508.800000000003</c:v>
              </c:pt>
              <c:pt idx="4">
                <c:v>85722</c:v>
              </c:pt>
            </c:numLit>
          </c:val>
          <c:extLst>
            <c:ext xmlns:c16="http://schemas.microsoft.com/office/drawing/2014/chart" uri="{C3380CC4-5D6E-409C-BE32-E72D297353CC}">
              <c16:uniqueId val="{00000002-1C24-46A8-A323-1476D5FB4AD2}"/>
            </c:ext>
          </c:extLst>
        </c:ser>
        <c:ser>
          <c:idx val="3"/>
          <c:order val="3"/>
          <c:tx>
            <c:v>Snickerdoodle</c:v>
          </c:tx>
          <c:spPr>
            <a:solidFill>
              <a:srgbClr val="92D050"/>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87012.5</c:v>
              </c:pt>
              <c:pt idx="1">
                <c:v>85142.5</c:v>
              </c:pt>
              <c:pt idx="2">
                <c:v>64547.5</c:v>
              </c:pt>
              <c:pt idx="3">
                <c:v>68060</c:v>
              </c:pt>
              <c:pt idx="4">
                <c:v>62360</c:v>
              </c:pt>
            </c:numLit>
          </c:val>
          <c:extLst>
            <c:ext xmlns:c16="http://schemas.microsoft.com/office/drawing/2014/chart" uri="{C3380CC4-5D6E-409C-BE32-E72D297353CC}">
              <c16:uniqueId val="{00000003-1C24-46A8-A323-1476D5FB4AD2}"/>
            </c:ext>
          </c:extLst>
        </c:ser>
        <c:ser>
          <c:idx val="4"/>
          <c:order val="4"/>
          <c:tx>
            <c:v>Sugar</c:v>
          </c:tx>
          <c:spPr>
            <a:solidFill>
              <a:schemeClr val="accent5">
                <a:lumMod val="40000"/>
                <a:lumOff val="60000"/>
              </a:schemeClr>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72187.5</c:v>
              </c:pt>
              <c:pt idx="1">
                <c:v>62608</c:v>
              </c:pt>
              <c:pt idx="2">
                <c:v>60376.75</c:v>
              </c:pt>
              <c:pt idx="3">
                <c:v>45725.75</c:v>
              </c:pt>
              <c:pt idx="4">
                <c:v>54479.25</c:v>
              </c:pt>
            </c:numLit>
          </c:val>
          <c:extLst>
            <c:ext xmlns:c16="http://schemas.microsoft.com/office/drawing/2014/chart" uri="{C3380CC4-5D6E-409C-BE32-E72D297353CC}">
              <c16:uniqueId val="{00000004-1C24-46A8-A323-1476D5FB4AD2}"/>
            </c:ext>
          </c:extLst>
        </c:ser>
        <c:ser>
          <c:idx val="5"/>
          <c:order val="5"/>
          <c:tx>
            <c:v>White Chocolate Macadamia Nut</c:v>
          </c:tx>
          <c:spPr>
            <a:solidFill>
              <a:schemeClr val="accent6">
                <a:lumMod val="40000"/>
                <a:lumOff val="60000"/>
              </a:schemeClr>
            </a:solidFill>
            <a:ln>
              <a:noFill/>
            </a:ln>
            <a:effectLst/>
          </c:spPr>
          <c:invertIfNegative val="0"/>
          <c:cat>
            <c:strLit>
              <c:ptCount val="5"/>
              <c:pt idx="0">
                <c:v>India</c:v>
              </c:pt>
              <c:pt idx="1">
                <c:v>United Kingdom</c:v>
              </c:pt>
              <c:pt idx="2">
                <c:v>United States</c:v>
              </c:pt>
              <c:pt idx="3">
                <c:v>Malaysia</c:v>
              </c:pt>
              <c:pt idx="4">
                <c:v>Philippines</c:v>
              </c:pt>
            </c:strLit>
          </c:cat>
          <c:val>
            <c:numLit>
              <c:formatCode>General</c:formatCode>
              <c:ptCount val="5"/>
              <c:pt idx="0">
                <c:v>105511.25</c:v>
              </c:pt>
              <c:pt idx="1">
                <c:v>118982.5</c:v>
              </c:pt>
              <c:pt idx="2">
                <c:v>116223.25</c:v>
              </c:pt>
              <c:pt idx="3">
                <c:v>86255</c:v>
              </c:pt>
              <c:pt idx="4">
                <c:v>100912.5</c:v>
              </c:pt>
            </c:numLit>
          </c:val>
          <c:extLst>
            <c:ext xmlns:c16="http://schemas.microsoft.com/office/drawing/2014/chart" uri="{C3380CC4-5D6E-409C-BE32-E72D297353CC}">
              <c16:uniqueId val="{00000005-1C24-46A8-A323-1476D5FB4AD2}"/>
            </c:ext>
          </c:extLst>
        </c:ser>
        <c:dLbls>
          <c:showLegendKey val="0"/>
          <c:showVal val="0"/>
          <c:showCatName val="0"/>
          <c:showSerName val="0"/>
          <c:showPercent val="0"/>
          <c:showBubbleSize val="0"/>
        </c:dLbls>
        <c:gapWidth val="150"/>
        <c:overlap val="100"/>
        <c:axId val="1405825583"/>
        <c:axId val="1405799663"/>
      </c:barChart>
      <c:catAx>
        <c:axId val="14058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5799663"/>
        <c:crosses val="autoZero"/>
        <c:auto val="1"/>
        <c:lblAlgn val="ctr"/>
        <c:lblOffset val="100"/>
        <c:noMultiLvlLbl val="0"/>
      </c:catAx>
      <c:valAx>
        <c:axId val="140579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5825583"/>
        <c:crosses val="autoZero"/>
        <c:crossBetween val="between"/>
      </c:valAx>
      <c:spPr>
        <a:solidFill>
          <a:schemeClr val="bg1">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aseline="0">
                <a:solidFill>
                  <a:schemeClr val="bg1"/>
                </a:solidFill>
                <a:latin typeface="Arial" panose="020B0604020202020204" pitchFamily="34" charset="0"/>
                <a:cs typeface="Arial" panose="020B0604020202020204" pitchFamily="34" charset="0"/>
              </a:rPr>
              <a:t>Unit Sold each </a:t>
            </a:r>
            <a:r>
              <a:rPr lang="en-US" sz="1500" baseline="0">
                <a:solidFill>
                  <a:schemeClr val="bg1"/>
                </a:solidFill>
                <a:latin typeface="Arial" panose="020B0604020202020204" pitchFamily="34" charset="0"/>
                <a:cs typeface="Arial" panose="020B0604020202020204" pitchFamily="34" charset="0"/>
              </a:rPr>
              <a:t>Month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1750" cap="rnd">
            <a:solidFill>
              <a:schemeClr val="bg1">
                <a:lumMod val="9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bg1">
                  <a:lumMod val="95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Lit>
          </c:val>
          <c:smooth val="0"/>
          <c:extLst>
            <c:ext xmlns:c16="http://schemas.microsoft.com/office/drawing/2014/chart" uri="{C3380CC4-5D6E-409C-BE32-E72D297353CC}">
              <c16:uniqueId val="{00000000-51E9-4BA5-BF72-1C2FBE6BC40E}"/>
            </c:ext>
          </c:extLst>
        </c:ser>
        <c:dLbls>
          <c:showLegendKey val="0"/>
          <c:showVal val="0"/>
          <c:showCatName val="0"/>
          <c:showSerName val="0"/>
          <c:showPercent val="0"/>
          <c:showBubbleSize val="0"/>
        </c:dLbls>
        <c:smooth val="0"/>
        <c:axId val="475245967"/>
        <c:axId val="475269967"/>
      </c:lineChart>
      <c:catAx>
        <c:axId val="47524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75269967"/>
        <c:crosses val="autoZero"/>
        <c:auto val="1"/>
        <c:lblAlgn val="ctr"/>
        <c:lblOffset val="100"/>
        <c:noMultiLvlLbl val="0"/>
      </c:catAx>
      <c:valAx>
        <c:axId val="47526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2">
                <a:lumMod val="90000"/>
                <a:lumOff val="10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245967"/>
        <c:crosses val="autoZero"/>
        <c:crossBetween val="between"/>
      </c:valAx>
      <c:spPr>
        <a:solidFill>
          <a:schemeClr val="bg1">
            <a:lumMod val="5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50000"/>
      </a:schemeClr>
    </a:solidFill>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500" b="0" i="0" u="none" strike="noStrike" kern="1200" spc="0" baseline="0">
                <a:solidFill>
                  <a:schemeClr val="bg1"/>
                </a:solidFill>
                <a:latin typeface="Arial" panose="020B0604020202020204" pitchFamily="34" charset="0"/>
                <a:ea typeface="+mn-ea"/>
                <a:cs typeface="+mn-cs"/>
              </a:defRPr>
            </a:pPr>
            <a:r>
              <a:rPr lang="en-US" sz="1500" baseline="0">
                <a:solidFill>
                  <a:schemeClr val="bg1"/>
                </a:solidFill>
                <a:latin typeface="Arial" panose="020B0604020202020204" pitchFamily="34" charset="0"/>
              </a:rPr>
              <a:t>Profit per Cookie</a:t>
            </a:r>
          </a:p>
        </c:rich>
      </c:tx>
      <c:overlay val="0"/>
      <c:spPr>
        <a:noFill/>
        <a:ln>
          <a:noFill/>
        </a:ln>
        <a:effectLst/>
      </c:spPr>
      <c:txPr>
        <a:bodyPr rot="0" spcFirstLastPara="1" vertOverflow="ellipsis" vert="horz" wrap="square" anchor="ctr" anchorCtr="1"/>
        <a:lstStyle/>
        <a:p>
          <a:pPr>
            <a:defRPr lang="en-US" sz="1500" b="0" i="0" u="none" strike="noStrike" kern="1200" spc="0" baseline="0">
              <a:solidFill>
                <a:schemeClr val="bg1"/>
              </a:solidFill>
              <a:latin typeface="Arial" panose="020B06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chemeClr val="tx2">
              <a:lumMod val="50000"/>
              <a:lumOff val="50000"/>
            </a:schemeClr>
          </a:solidFill>
          <a:ln w="19050">
            <a:solidFill>
              <a:schemeClr val="lt1"/>
            </a:solidFill>
          </a:ln>
          <a:effectLst/>
        </c:spPr>
      </c:pivotFmt>
      <c:pivotFmt>
        <c:idx val="12"/>
        <c:spPr>
          <a:solidFill>
            <a:srgbClr val="92D050"/>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631A-452D-AF75-440725430FD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631A-452D-AF75-440725430FD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31A-452D-AF75-440725430FD7}"/>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631A-452D-AF75-440725430FD7}"/>
              </c:ext>
            </c:extLst>
          </c:dPt>
          <c:dPt>
            <c:idx val="4"/>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9-631A-452D-AF75-440725430FD7}"/>
              </c:ext>
            </c:extLst>
          </c:dPt>
          <c:dPt>
            <c:idx val="5"/>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B-631A-452D-AF75-440725430FD7}"/>
              </c:ext>
            </c:extLst>
          </c:dPt>
          <c:cat>
            <c:strLit>
              <c:ptCount val="6"/>
              <c:pt idx="0">
                <c:v>Chocolate Chip</c:v>
              </c:pt>
              <c:pt idx="1">
                <c:v>Fortune Cookie</c:v>
              </c:pt>
              <c:pt idx="2">
                <c:v>Oatmeal Raisin</c:v>
              </c:pt>
              <c:pt idx="3">
                <c:v>Snickerdoodle</c:v>
              </c:pt>
              <c:pt idx="4">
                <c:v>Sugar</c:v>
              </c:pt>
              <c:pt idx="5">
                <c:v>White Chocolate Macadamia Nut</c:v>
              </c:pt>
            </c:strLit>
          </c:cat>
          <c:val>
            <c:numLit>
              <c:formatCode>General</c:formatCode>
              <c:ptCount val="6"/>
              <c:pt idx="0">
                <c:v>1014729</c:v>
              </c:pt>
              <c:pt idx="1">
                <c:v>123360.80000000002</c:v>
              </c:pt>
              <c:pt idx="2">
                <c:v>434890.4</c:v>
              </c:pt>
              <c:pt idx="3">
                <c:v>367122.5</c:v>
              </c:pt>
              <c:pt idx="4">
                <c:v>295377.25</c:v>
              </c:pt>
              <c:pt idx="5">
                <c:v>527884.5</c:v>
              </c:pt>
            </c:numLit>
          </c:val>
          <c:extLst>
            <c:ext xmlns:c16="http://schemas.microsoft.com/office/drawing/2014/chart" uri="{C3380CC4-5D6E-409C-BE32-E72D297353CC}">
              <c16:uniqueId val="{0000000C-631A-452D-AF75-440725430F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1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85725</xdr:colOff>
      <xdr:row>6</xdr:row>
      <xdr:rowOff>80961</xdr:rowOff>
    </xdr:from>
    <xdr:to>
      <xdr:col>13</xdr:col>
      <xdr:colOff>85725</xdr:colOff>
      <xdr:row>18</xdr:row>
      <xdr:rowOff>123824</xdr:rowOff>
    </xdr:to>
    <xdr:graphicFrame macro="">
      <xdr:nvGraphicFramePr>
        <xdr:cNvPr id="2" name="Chart 1">
          <a:extLst>
            <a:ext uri="{FF2B5EF4-FFF2-40B4-BE49-F238E27FC236}">
              <a16:creationId xmlns:a16="http://schemas.microsoft.com/office/drawing/2014/main" id="{ECA27811-D0D9-4672-9732-DDDD1B97A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6</xdr:row>
      <xdr:rowOff>80961</xdr:rowOff>
    </xdr:from>
    <xdr:to>
      <xdr:col>6</xdr:col>
      <xdr:colOff>0</xdr:colOff>
      <xdr:row>18</xdr:row>
      <xdr:rowOff>123824</xdr:rowOff>
    </xdr:to>
    <xdr:graphicFrame macro="">
      <xdr:nvGraphicFramePr>
        <xdr:cNvPr id="3" name="Chart 2">
          <a:extLst>
            <a:ext uri="{FF2B5EF4-FFF2-40B4-BE49-F238E27FC236}">
              <a16:creationId xmlns:a16="http://schemas.microsoft.com/office/drawing/2014/main" id="{19319389-50F1-455D-AD08-8440C87EC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314325</xdr:colOff>
      <xdr:row>2</xdr:row>
      <xdr:rowOff>92076</xdr:rowOff>
    </xdr:from>
    <xdr:to>
      <xdr:col>10</xdr:col>
      <xdr:colOff>0</xdr:colOff>
      <xdr:row>30</xdr:row>
      <xdr:rowOff>15875</xdr:rowOff>
    </xdr:to>
    <xdr:graphicFrame macro="">
      <xdr:nvGraphicFramePr>
        <xdr:cNvPr id="2" name="Chart 1">
          <a:extLst>
            <a:ext uri="{FF2B5EF4-FFF2-40B4-BE49-F238E27FC236}">
              <a16:creationId xmlns:a16="http://schemas.microsoft.com/office/drawing/2014/main" id="{27328D99-D353-4EF6-B23A-71C567E40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133349</xdr:colOff>
      <xdr:row>2</xdr:row>
      <xdr:rowOff>88900</xdr:rowOff>
    </xdr:from>
    <xdr:to>
      <xdr:col>16</xdr:col>
      <xdr:colOff>587374</xdr:colOff>
      <xdr:row>15</xdr:row>
      <xdr:rowOff>174625</xdr:rowOff>
    </xdr:to>
    <xdr:graphicFrame macro="">
      <xdr:nvGraphicFramePr>
        <xdr:cNvPr id="3" name="Chart 2">
          <a:extLst>
            <a:ext uri="{FF2B5EF4-FFF2-40B4-BE49-F238E27FC236}">
              <a16:creationId xmlns:a16="http://schemas.microsoft.com/office/drawing/2014/main" id="{42B31926-2693-47C3-A48D-CAEB26A2E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133349</xdr:rowOff>
    </xdr:from>
    <xdr:to>
      <xdr:col>3</xdr:col>
      <xdr:colOff>111125</xdr:colOff>
      <xdr:row>10</xdr:row>
      <xdr:rowOff>47624</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AFD6B85E-C806-4B33-9768-B17BCDE61DD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895349"/>
              <a:ext cx="1952625" cy="13536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10</xdr:row>
      <xdr:rowOff>146050</xdr:rowOff>
    </xdr:from>
    <xdr:to>
      <xdr:col>3</xdr:col>
      <xdr:colOff>142875</xdr:colOff>
      <xdr:row>19</xdr:row>
      <xdr:rowOff>79375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3C6157DF-7BDD-4D99-AB4D-681DDB4A8DB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347383"/>
              <a:ext cx="198437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171450</xdr:rowOff>
    </xdr:from>
    <xdr:to>
      <xdr:col>3</xdr:col>
      <xdr:colOff>174624</xdr:colOff>
      <xdr:row>29</xdr:row>
      <xdr:rowOff>152400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720BE36-05F5-4505-BEC4-A51CA4658F5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992033"/>
              <a:ext cx="2016124" cy="1780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120650</xdr:colOff>
      <xdr:row>16</xdr:row>
      <xdr:rowOff>95250</xdr:rowOff>
    </xdr:from>
    <xdr:to>
      <xdr:col>16</xdr:col>
      <xdr:colOff>576350</xdr:colOff>
      <xdr:row>30</xdr:row>
      <xdr:rowOff>15875</xdr:rowOff>
    </xdr:to>
    <xdr:graphicFrame macro="">
      <xdr:nvGraphicFramePr>
        <xdr:cNvPr id="7" name="Chart 6">
          <a:extLst>
            <a:ext uri="{FF2B5EF4-FFF2-40B4-BE49-F238E27FC236}">
              <a16:creationId xmlns:a16="http://schemas.microsoft.com/office/drawing/2014/main" id="{82B8E0CA-CE61-4FBF-A33D-6D5F022B0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22\bd\Nasal%20Services\Shilpa%20Tawde\Excel%20Training\Array\W2%20Array%20Functions%20Intro.xlsx" TargetMode="External"/><Relationship Id="rId1" Type="http://schemas.openxmlformats.org/officeDocument/2006/relationships/externalLinkPath" Target="file:///\\192.168.4.22\bd\Nasal%20Services\Shilpa%20Tawde\Excel%20Training\Array\W2%20Array%20Functions%20Intr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n02794\Documents\Excel%20Workshop\Session17May24.xlsx" TargetMode="External"/><Relationship Id="rId1" Type="http://schemas.openxmlformats.org/officeDocument/2006/relationships/externalLinkPath" Target="Session17May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Summary"/>
      <sheetName val="Product List"/>
      <sheetName val="Current Rates"/>
      <sheetName val="Conversion Table"/>
      <sheetName val="Old Price List"/>
    </sheetNames>
    <sheetDataSet>
      <sheetData sheetId="0">
        <row r="4">
          <cell r="A4">
            <v>2008</v>
          </cell>
        </row>
        <row r="5">
          <cell r="A5">
            <v>2008</v>
          </cell>
        </row>
        <row r="6">
          <cell r="A6">
            <v>2008</v>
          </cell>
        </row>
        <row r="7">
          <cell r="A7">
            <v>2008</v>
          </cell>
        </row>
        <row r="8">
          <cell r="A8">
            <v>2009</v>
          </cell>
        </row>
        <row r="9">
          <cell r="A9">
            <v>2009</v>
          </cell>
        </row>
        <row r="10">
          <cell r="A10">
            <v>2009</v>
          </cell>
        </row>
        <row r="11">
          <cell r="A11">
            <v>2009</v>
          </cell>
        </row>
        <row r="12">
          <cell r="A12">
            <v>2010</v>
          </cell>
        </row>
        <row r="13">
          <cell r="A13">
            <v>2010</v>
          </cell>
        </row>
        <row r="14">
          <cell r="A14">
            <v>2010</v>
          </cell>
        </row>
        <row r="15">
          <cell r="A15">
            <v>2010</v>
          </cell>
        </row>
        <row r="16">
          <cell r="A16">
            <v>2011</v>
          </cell>
        </row>
        <row r="17">
          <cell r="A17">
            <v>2011</v>
          </cell>
        </row>
        <row r="18">
          <cell r="A18">
            <v>2011</v>
          </cell>
        </row>
        <row r="19">
          <cell r="A19">
            <v>2011</v>
          </cell>
        </row>
        <row r="20">
          <cell r="A20">
            <v>2012</v>
          </cell>
        </row>
        <row r="21">
          <cell r="A21">
            <v>2012</v>
          </cell>
        </row>
        <row r="22">
          <cell r="A22">
            <v>2012</v>
          </cell>
        </row>
        <row r="23">
          <cell r="A23">
            <v>2012</v>
          </cell>
        </row>
        <row r="24">
          <cell r="A24">
            <v>2013</v>
          </cell>
        </row>
        <row r="25">
          <cell r="A25">
            <v>2013</v>
          </cell>
        </row>
        <row r="26">
          <cell r="A26">
            <v>2013</v>
          </cell>
        </row>
        <row r="27">
          <cell r="A27">
            <v>2013</v>
          </cell>
        </row>
        <row r="28">
          <cell r="A28">
            <v>2014</v>
          </cell>
        </row>
        <row r="29">
          <cell r="A29">
            <v>2014</v>
          </cell>
        </row>
        <row r="30">
          <cell r="A30">
            <v>2014</v>
          </cell>
        </row>
        <row r="31">
          <cell r="A31">
            <v>2014</v>
          </cell>
        </row>
        <row r="32">
          <cell r="A32">
            <v>2015</v>
          </cell>
        </row>
        <row r="33">
          <cell r="A33">
            <v>2015</v>
          </cell>
        </row>
        <row r="34">
          <cell r="A34">
            <v>2015</v>
          </cell>
        </row>
        <row r="35">
          <cell r="A35">
            <v>2015</v>
          </cell>
        </row>
        <row r="36">
          <cell r="A36">
            <v>2016</v>
          </cell>
        </row>
        <row r="37">
          <cell r="A37">
            <v>2016</v>
          </cell>
        </row>
        <row r="38">
          <cell r="A38">
            <v>2016</v>
          </cell>
        </row>
        <row r="39">
          <cell r="A39">
            <v>2016</v>
          </cell>
        </row>
        <row r="40">
          <cell r="A40">
            <v>2017</v>
          </cell>
        </row>
        <row r="41">
          <cell r="A41">
            <v>2017</v>
          </cell>
        </row>
        <row r="42">
          <cell r="A42">
            <v>2017</v>
          </cell>
        </row>
        <row r="43">
          <cell r="A43">
            <v>2017</v>
          </cell>
        </row>
        <row r="44">
          <cell r="A44">
            <v>2018</v>
          </cell>
        </row>
      </sheetData>
      <sheetData sheetId="1">
        <row r="4">
          <cell r="B4" t="str">
            <v>Apron - Adult sizes</v>
          </cell>
        </row>
        <row r="5">
          <cell r="B5" t="str">
            <v>Apron Child sizes</v>
          </cell>
        </row>
        <row r="6">
          <cell r="B6" t="str">
            <v>Big Shopper</v>
          </cell>
        </row>
        <row r="7">
          <cell r="B7" t="str">
            <v>Christmas Cards A6</v>
          </cell>
        </row>
        <row r="8">
          <cell r="B8" t="str">
            <v>Coaster (square)</v>
          </cell>
        </row>
        <row r="9">
          <cell r="B9" t="str">
            <v xml:space="preserve">Coaster 4 pack (square) </v>
          </cell>
        </row>
        <row r="10">
          <cell r="B10" t="str">
            <v>Coaster 4 pack (round)</v>
          </cell>
        </row>
        <row r="11">
          <cell r="B11" t="str">
            <v>Coaster Card (square)</v>
          </cell>
        </row>
        <row r="12">
          <cell r="B12" t="str">
            <v>Coaster Card (round)</v>
          </cell>
        </row>
        <row r="13">
          <cell r="B13" t="str">
            <v>Coaster Cards (square) 4 pack</v>
          </cell>
        </row>
        <row r="14">
          <cell r="B14" t="str">
            <v>Coaster Cards (round) 4 pack</v>
          </cell>
        </row>
        <row r="15">
          <cell r="B15" t="str">
            <v>Dry Wipe Board</v>
          </cell>
        </row>
        <row r="16">
          <cell r="B16" t="str">
            <v>Fridge Magnet (square)</v>
          </cell>
        </row>
        <row r="17">
          <cell r="B17" t="str">
            <v>Fridge Magnet (round)</v>
          </cell>
        </row>
        <row r="18">
          <cell r="B18" t="str">
            <v>Gym Bag - small</v>
          </cell>
        </row>
        <row r="19">
          <cell r="B19" t="str">
            <v>Gym Bag - Large</v>
          </cell>
        </row>
        <row r="20">
          <cell r="B20" t="str">
            <v>Handy Bag</v>
          </cell>
        </row>
        <row r="21">
          <cell r="B21" t="str">
            <v>Hanging Decoration (square)</v>
          </cell>
        </row>
        <row r="22">
          <cell r="B22" t="str">
            <v>Hanging Decoration (round)</v>
          </cell>
        </row>
        <row r="23">
          <cell r="B23" t="str">
            <v>Mug</v>
          </cell>
        </row>
        <row r="24">
          <cell r="B24" t="str">
            <v>Pencil Case</v>
          </cell>
        </row>
        <row r="25">
          <cell r="B25" t="str">
            <v>Peg Bag</v>
          </cell>
        </row>
        <row r="26">
          <cell r="B26" t="str">
            <v>Placemat MDF (rectangular)</v>
          </cell>
        </row>
        <row r="27">
          <cell r="B27" t="str">
            <v>Placemat MDF (round)</v>
          </cell>
        </row>
        <row r="28">
          <cell r="B28" t="str">
            <v>Plate polymer</v>
          </cell>
        </row>
        <row r="29">
          <cell r="B29" t="str">
            <v>Shopping List</v>
          </cell>
        </row>
        <row r="30">
          <cell r="B30" t="str">
            <v>Sports Bag - White</v>
          </cell>
        </row>
        <row r="31">
          <cell r="B31" t="str">
            <v>Sticky Notes</v>
          </cell>
        </row>
        <row r="32">
          <cell r="B32" t="str">
            <v>Tea Towels</v>
          </cell>
        </row>
        <row r="33">
          <cell r="B33" t="str">
            <v>Tee shirt - Adult sizes</v>
          </cell>
        </row>
        <row r="34">
          <cell r="B34" t="str">
            <v>Tee shirt - Child sizes</v>
          </cell>
        </row>
        <row r="35">
          <cell r="B35" t="str">
            <v>Wall Clock</v>
          </cell>
        </row>
        <row r="36">
          <cell r="B36" t="str">
            <v>Wash Bag</v>
          </cell>
        </row>
      </sheetData>
      <sheetData sheetId="2">
        <row r="4">
          <cell r="C4">
            <v>1.1633519999999999</v>
          </cell>
        </row>
        <row r="5">
          <cell r="C5">
            <v>1.312846</v>
          </cell>
        </row>
        <row r="6">
          <cell r="C6">
            <v>1.5412E-2</v>
          </cell>
        </row>
        <row r="7">
          <cell r="C7">
            <v>0.76412599999999997</v>
          </cell>
        </row>
        <row r="8">
          <cell r="C8">
            <v>0.77757200000000004</v>
          </cell>
        </row>
        <row r="9">
          <cell r="C9">
            <v>0.73106700000000002</v>
          </cell>
        </row>
        <row r="10">
          <cell r="C10">
            <v>1.001593</v>
          </cell>
        </row>
        <row r="11">
          <cell r="C11">
            <v>0.23580699999999999</v>
          </cell>
        </row>
        <row r="12">
          <cell r="C12">
            <v>8.7600000000000004E-3</v>
          </cell>
        </row>
        <row r="13">
          <cell r="C13">
            <v>0.150338</v>
          </cell>
        </row>
      </sheetData>
      <sheetData sheetId="3">
        <row r="5">
          <cell r="A5" t="str">
            <v>AUD</v>
          </cell>
        </row>
        <row r="6">
          <cell r="A6" t="str">
            <v>CAD</v>
          </cell>
        </row>
        <row r="7">
          <cell r="A7" t="str">
            <v>CHF</v>
          </cell>
        </row>
        <row r="8">
          <cell r="A8" t="str">
            <v>CNY</v>
          </cell>
        </row>
        <row r="9">
          <cell r="A9" t="str">
            <v>EUR</v>
          </cell>
        </row>
        <row r="10">
          <cell r="A10" t="str">
            <v>GBP</v>
          </cell>
        </row>
        <row r="11">
          <cell r="A11" t="str">
            <v>INR</v>
          </cell>
        </row>
        <row r="12">
          <cell r="A12" t="str">
            <v>JPY</v>
          </cell>
        </row>
        <row r="13">
          <cell r="A13" t="str">
            <v>MYR</v>
          </cell>
        </row>
        <row r="14">
          <cell r="A14" t="str">
            <v>SGD</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e"/>
      <sheetName val="Data list"/>
      <sheetName val="pivote24 may"/>
      <sheetName val="Dashboard"/>
      <sheetName val="Sheet4"/>
      <sheetName val="Sheet2"/>
      <sheetName val="Array"/>
      <sheetName val="ArrayForConversion"/>
      <sheetName val="Current Rates"/>
      <sheetName val="SecondaryAx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A2" t="str">
            <v>US Dollar</v>
          </cell>
          <cell r="AB2" t="str">
            <v>USD</v>
          </cell>
        </row>
        <row r="3">
          <cell r="AA3" t="str">
            <v>Australian Dollar</v>
          </cell>
          <cell r="AB3" t="str">
            <v>AUD</v>
          </cell>
        </row>
        <row r="4">
          <cell r="D4" t="str">
            <v>EUR</v>
          </cell>
          <cell r="AA4" t="str">
            <v>Canadian Dollar</v>
          </cell>
          <cell r="AB4" t="str">
            <v>CAD</v>
          </cell>
        </row>
        <row r="5">
          <cell r="D5" t="str">
            <v>GBP</v>
          </cell>
          <cell r="AA5" t="str">
            <v>Swiss Franc</v>
          </cell>
          <cell r="AB5" t="str">
            <v>CHF</v>
          </cell>
        </row>
        <row r="6">
          <cell r="D6" t="str">
            <v>INR</v>
          </cell>
          <cell r="AA6" t="str">
            <v>Chinese Yuan Renminbi</v>
          </cell>
          <cell r="AB6" t="str">
            <v>CNY</v>
          </cell>
        </row>
        <row r="7">
          <cell r="D7" t="str">
            <v>AUD</v>
          </cell>
          <cell r="AA7" t="str">
            <v>Euro</v>
          </cell>
          <cell r="AB7" t="str">
            <v>EUR</v>
          </cell>
        </row>
        <row r="8">
          <cell r="D8" t="str">
            <v>CAD</v>
          </cell>
          <cell r="AA8" t="str">
            <v>British Pound</v>
          </cell>
          <cell r="AB8" t="str">
            <v>GBP</v>
          </cell>
        </row>
        <row r="9">
          <cell r="D9" t="str">
            <v>SGD</v>
          </cell>
          <cell r="AA9" t="str">
            <v>Indian Rupee</v>
          </cell>
          <cell r="AB9" t="str">
            <v>INR</v>
          </cell>
        </row>
        <row r="10">
          <cell r="D10" t="str">
            <v>CHF</v>
          </cell>
          <cell r="AA10" t="str">
            <v>Japanese Yen</v>
          </cell>
          <cell r="AB10" t="str">
            <v>JPY</v>
          </cell>
        </row>
        <row r="11">
          <cell r="D11" t="str">
            <v>MYR</v>
          </cell>
          <cell r="AA11" t="str">
            <v>Malaysian Ringgit</v>
          </cell>
          <cell r="AB11" t="str">
            <v>MYR</v>
          </cell>
        </row>
        <row r="12">
          <cell r="D12" t="str">
            <v>JPY</v>
          </cell>
          <cell r="AA12" t="str">
            <v>Singapore Dollar</v>
          </cell>
          <cell r="AB12" t="str">
            <v>SGD</v>
          </cell>
        </row>
        <row r="13">
          <cell r="D13" t="str">
            <v>CNY</v>
          </cell>
        </row>
      </sheetData>
      <sheetData sheetId="9">
        <row r="3">
          <cell r="B3" t="str">
            <v>Jan</v>
          </cell>
        </row>
      </sheetData>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4May2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a Tawde" refreshedDate="45428.687375578702" createdVersion="8" refreshedVersion="8" minRefreshableVersion="3" recordCount="700" xr:uid="{5D326AA4-A211-4BE7-804E-4BAE6867BBF3}">
  <cacheSource type="worksheet">
    <worksheetSource ref="A1:G701" sheet="Current Rates" r:id="rId2"/>
  </cacheSource>
  <cacheFields count="10">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5">
      <sharedItems containsSemiMixedTypes="0" containsString="0" containsNumber="1" containsInteger="1" minValue="200" maxValue="23988"/>
    </cacheField>
    <cacheField name="Cost" numFmtId="165">
      <sharedItems containsSemiMixedTypes="0" containsString="0" containsNumber="1" minValue="40" maxValue="10994.5"/>
    </cacheField>
    <cacheField name="Profit" numFmtId="165">
      <sharedItems containsSemiMixedTypes="0" containsString="0" containsNumber="1" minValue="160" maxValue="13479"/>
    </cacheField>
    <cacheField name="Date" numFmtId="14">
      <sharedItems containsSemiMixedTypes="0" containsNonDate="0" containsDate="1" containsString="0" minDate="2019-01-09T00:00:00" maxDate="2020-12-02T00:00:00" count="31">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d v="2019-01-11T00:00:00" u="1"/>
        <d v="2019-01-12T00:00:00" u="1"/>
        <d v="2019-01-09T00:00:00" u="1"/>
        <d v="2019-01-10T00:00:00" u="1"/>
        <d v="2020-01-02T00:00:00" u="1"/>
        <d v="2020-01-06T00:00:00" u="1"/>
        <d v="2020-01-12T00:00:00" u="1"/>
        <d v="2020-01-10T00:00:00" u="1"/>
        <d v="2020-01-03T00:00:00" u="1"/>
        <d v="2020-01-09T00:00:00" u="1"/>
        <d v="2020-01-05T00:00:00" u="1"/>
        <d v="2020-01-07T00:00:00" u="1"/>
        <d v="2020-01-08T00:00:00" u="1"/>
        <d v="2020-01-11T00:00:00" u="1"/>
        <d v="2020-01-04T00:00:00" u="1"/>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877763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E6BF762-30F0-4098-AA4F-71CC36E82C2D}" sourceName="Country">
  <data>
    <tabular pivotCacheId="1877763261">
      <items count="5">
        <i x="0"/>
        <i x="3" s="1"/>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667759-6CA2-4A07-9FAD-7F2C8441A69C}" sourceName="Product">
  <data>
    <tabular pivotCacheId="1877763261">
      <items count="6">
        <i x="0"/>
        <i x="1"/>
        <i x="2"/>
        <i x="3"/>
        <i x="4"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09719DB-C841-43D1-8FDE-77608D1EBF8D}" cache="Slicer_Country" caption="Country" showCaption="0" style="SlicerStyleOther1" rowHeight="257175"/>
  <slicer name="Product" xr10:uid="{33DE6D16-BE3B-4C34-AAEF-F102F3EB9307}" cache="Slicer_Product" caption="Product" showCaption="0"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EA5A9-3B4B-468F-B709-99BE288B65AA}" name="Table1" displayName="Table1" ref="A4:F18" totalsRowShown="0" headerRowDxfId="23" dataDxfId="22">
  <autoFilter ref="A4:F18" xr:uid="{E8F44671-E0AB-4242-B33A-0829512BC4F5}"/>
  <tableColumns count="6">
    <tableColumn id="1" xr3:uid="{4DE5ADAB-FEE5-4387-B9AD-A9B135CAE85C}" name="Product" dataDxfId="21"/>
    <tableColumn id="2" xr3:uid="{F6998E29-24A6-4C46-91DB-89B55BBBE77F}" name="Category" dataDxfId="20"/>
    <tableColumn id="3" xr3:uid="{B8A22402-8E7A-4ABD-86A5-080CDABEEBDE}" name="Cost" dataDxfId="19"/>
    <tableColumn id="4" xr3:uid="{066633C0-1AAE-466F-89D1-F020478DEB14}" name="Revenue" dataDxfId="18"/>
    <tableColumn id="5" xr3:uid="{BE61E493-93A8-45A2-A6D5-CE0504F59859}" name="Profit" dataDxfId="17"/>
    <tableColumn id="6" xr3:uid="{5A118D38-B38A-441B-AD6C-39F6E1C9801D}" name="Dat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1A736-F077-4475-AE2B-20C077D21060}" name="Table13" displayName="Table13" ref="A1:G701" totalsRowShown="0" headerRowDxfId="15" headerRowBorderDxfId="14" tableBorderDxfId="13" totalsRowBorderDxfId="12">
  <autoFilter ref="A1:G701" xr:uid="{C2B18E48-95AF-4EB4-9BD5-FAEC5179CD3E}"/>
  <tableColumns count="7">
    <tableColumn id="1" xr3:uid="{B3178B54-6FDD-435F-9429-F00D40EBABDC}" name="Customer" dataDxfId="11"/>
    <tableColumn id="2" xr3:uid="{8CFAE729-2B45-46FB-A564-E311C4426029}" name="Order ID" dataDxfId="10"/>
    <tableColumn id="3" xr3:uid="{70C3F78F-D162-4003-87C5-15F83647C127}" name="Product" dataDxfId="9"/>
    <tableColumn id="4" xr3:uid="{86A343B9-77AC-4AB4-8BCD-669EAEFE368C}" name="Units Sold" dataDxfId="8"/>
    <tableColumn id="5" xr3:uid="{78E21A53-3EB5-43A8-898E-E58AA01550F8}" name="Date" dataDxfId="7"/>
    <tableColumn id="6" xr3:uid="{0AF3FF35-1C1C-4546-8586-09A8CE3184E6}" name="Rev" dataDxfId="6"/>
    <tableColumn id="7" xr3:uid="{BB33D263-D198-44F9-8FAC-E498233FE8A1}" name="Our cost"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D0A86A-016C-443B-B1E9-AA0BE729F86D}" name="Table3" displayName="Table3" ref="B2:H42" totalsRowShown="0">
  <autoFilter ref="B2:H42" xr:uid="{63D0A86A-016C-443B-B1E9-AA0BE729F86D}"/>
  <tableColumns count="7">
    <tableColumn id="1" xr3:uid="{A60562F1-96D4-4C44-A491-CE13A27AD42B}" name="Country"/>
    <tableColumn id="2" xr3:uid="{DE88D978-907E-4EF9-AE33-8AB688D54F96}" name="Product"/>
    <tableColumn id="3" xr3:uid="{48BC9E9B-E097-4374-8931-B9C440ECC9D7}" name="Units Sold"/>
    <tableColumn id="4" xr3:uid="{17543C98-730B-457E-A790-444CA783B049}" name="Revenue"/>
    <tableColumn id="5" xr3:uid="{5413ABF3-06C1-4E88-B36F-E1733FEBC32F}" name="Cost"/>
    <tableColumn id="6" xr3:uid="{5A04D500-C28C-4C20-BA3F-FD9E6660020B}" name="Profit"/>
    <tableColumn id="7" xr3:uid="{4EF89970-7F76-4E59-9EA4-977BC2864E2A}" name="Dat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4D9C5DF-DE3D-439C-8FFC-4D8A74BFAF92}" sourceName="Date">
  <state minimalRefreshVersion="6" lastRefreshVersion="6" pivotCacheId="187776326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B3EE5E-18E9-446D-9322-D6C27622F818}" cache="NativeTimeline_Date" caption="Date" level="2" selectionLevel="2" scrollPosition="2020-05-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x-rates.com/table/?from=USD&amp;amount=1"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6.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9D8CF-AA98-4EDE-808A-89B811BE0093}">
  <sheetPr>
    <tabColor theme="9" tint="0.39997558519241921"/>
  </sheetPr>
  <dimension ref="A1:I32"/>
  <sheetViews>
    <sheetView tabSelected="1" workbookViewId="0"/>
  </sheetViews>
  <sheetFormatPr defaultColWidth="9.1796875" defaultRowHeight="14.5"/>
  <cols>
    <col min="1" max="1" width="4" style="41" customWidth="1"/>
    <col min="2" max="2" width="20.26953125" style="41" customWidth="1"/>
    <col min="3" max="3" width="15.81640625" style="41" customWidth="1"/>
    <col min="4" max="4" width="11.54296875" style="41" customWidth="1"/>
    <col min="5" max="5" width="10" style="41" bestFit="1" customWidth="1"/>
    <col min="6" max="6" width="13.26953125" style="41" customWidth="1"/>
    <col min="7" max="7" width="13.81640625" style="41" customWidth="1"/>
    <col min="8" max="8" width="13.54296875" style="41" customWidth="1"/>
    <col min="9" max="9" width="13.7265625" style="41" customWidth="1"/>
    <col min="10" max="10" width="10" style="41" bestFit="1" customWidth="1"/>
    <col min="11" max="16384" width="9.1796875" style="41"/>
  </cols>
  <sheetData>
    <row r="1" spans="1:5" s="39" customFormat="1" ht="22">
      <c r="A1" s="38" t="s">
        <v>0</v>
      </c>
    </row>
    <row r="2" spans="1:5" ht="17.25" customHeight="1">
      <c r="A2" s="40"/>
    </row>
    <row r="3" spans="1:5" ht="18.5">
      <c r="A3" s="42" t="s">
        <v>1</v>
      </c>
    </row>
    <row r="4" spans="1:5" ht="5.25" customHeight="1">
      <c r="A4" s="43"/>
    </row>
    <row r="5" spans="1:5" ht="15.5">
      <c r="A5" s="44" t="s">
        <v>2</v>
      </c>
      <c r="B5" s="45" t="s">
        <v>3</v>
      </c>
      <c r="C5" s="45" t="s">
        <v>4</v>
      </c>
      <c r="D5" s="46" t="s">
        <v>5</v>
      </c>
    </row>
    <row r="6" spans="1:5" ht="17">
      <c r="A6" s="47"/>
      <c r="B6" s="45" t="s">
        <v>6</v>
      </c>
      <c r="C6" s="48" t="s">
        <v>7</v>
      </c>
      <c r="D6" s="46">
        <v>2</v>
      </c>
    </row>
    <row r="7" spans="1:5" ht="17">
      <c r="A7" s="47"/>
      <c r="B7" s="45" t="s">
        <v>8</v>
      </c>
      <c r="C7" s="48" t="s">
        <v>7</v>
      </c>
      <c r="D7" s="46" t="s">
        <v>9</v>
      </c>
    </row>
    <row r="8" spans="1:5" ht="30" customHeight="1">
      <c r="C8" s="49"/>
    </row>
    <row r="9" spans="1:5" ht="18.5">
      <c r="A9" s="42" t="s">
        <v>10</v>
      </c>
    </row>
    <row r="10" spans="1:5" ht="15.5">
      <c r="B10" s="50">
        <v>2351279</v>
      </c>
      <c r="C10" s="51">
        <v>2351279</v>
      </c>
      <c r="D10" s="50"/>
      <c r="E10" s="52">
        <v>2351279</v>
      </c>
    </row>
    <row r="13" spans="1:5" ht="18.5">
      <c r="A13" s="42" t="s">
        <v>11</v>
      </c>
    </row>
    <row r="14" spans="1:5" ht="10.5" customHeight="1">
      <c r="A14" s="42"/>
    </row>
    <row r="15" spans="1:5" ht="15.5">
      <c r="A15" s="44" t="s">
        <v>12</v>
      </c>
      <c r="B15" s="45" t="s">
        <v>13</v>
      </c>
      <c r="C15" s="45" t="s">
        <v>14</v>
      </c>
    </row>
    <row r="16" spans="1:5" ht="15.5">
      <c r="B16" s="45" t="s">
        <v>15</v>
      </c>
      <c r="C16" s="45" t="s">
        <v>16</v>
      </c>
    </row>
    <row r="17" spans="1:9" ht="15.5">
      <c r="B17" s="45" t="s">
        <v>17</v>
      </c>
      <c r="C17" s="45" t="s">
        <v>18</v>
      </c>
    </row>
    <row r="18" spans="1:9" ht="15.5">
      <c r="B18" s="45" t="s">
        <v>19</v>
      </c>
      <c r="C18" s="45" t="s">
        <v>20</v>
      </c>
    </row>
    <row r="19" spans="1:9" ht="15.5">
      <c r="B19" s="45" t="s">
        <v>21</v>
      </c>
      <c r="C19" s="45" t="s">
        <v>22</v>
      </c>
    </row>
    <row r="20" spans="1:9" ht="15.5">
      <c r="B20" s="45" t="s">
        <v>19</v>
      </c>
      <c r="C20" s="45" t="s">
        <v>23</v>
      </c>
    </row>
    <row r="22" spans="1:9" ht="18.5">
      <c r="A22" s="42" t="s">
        <v>24</v>
      </c>
    </row>
    <row r="23" spans="1:9" ht="9" customHeight="1">
      <c r="A23" s="42"/>
    </row>
    <row r="24" spans="1:9" ht="15.5">
      <c r="A24" s="44" t="s">
        <v>12</v>
      </c>
      <c r="B24" s="45" t="s">
        <v>25</v>
      </c>
      <c r="C24" s="45" t="s">
        <v>26</v>
      </c>
      <c r="D24" s="45" t="s">
        <v>27</v>
      </c>
    </row>
    <row r="25" spans="1:9" ht="15.5">
      <c r="B25" s="45" t="s">
        <v>15</v>
      </c>
      <c r="C25" s="53">
        <v>23000</v>
      </c>
      <c r="D25" s="54">
        <v>12000</v>
      </c>
      <c r="I25" s="55"/>
    </row>
    <row r="26" spans="1:9" ht="15.5">
      <c r="B26" s="45" t="s">
        <v>19</v>
      </c>
      <c r="C26" s="53">
        <v>24569</v>
      </c>
      <c r="D26" s="53">
        <v>12500</v>
      </c>
    </row>
    <row r="28" spans="1:9" ht="18.5">
      <c r="A28" s="42" t="s">
        <v>28</v>
      </c>
    </row>
    <row r="30" spans="1:9" ht="18.5">
      <c r="A30" s="42" t="s">
        <v>29</v>
      </c>
    </row>
    <row r="32" spans="1:9" ht="18.5">
      <c r="A32" s="42"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9F6BA-EB44-4577-919B-25AADE47092D}">
  <sheetPr>
    <tabColor theme="9" tint="0.39997558519241921"/>
  </sheetPr>
  <dimension ref="A1:B21"/>
  <sheetViews>
    <sheetView workbookViewId="0">
      <selection activeCell="A18" sqref="A18"/>
    </sheetView>
  </sheetViews>
  <sheetFormatPr defaultRowHeight="14.5"/>
  <cols>
    <col min="1" max="1" width="41" bestFit="1" customWidth="1"/>
    <col min="2" max="2" width="48.54296875" bestFit="1" customWidth="1"/>
  </cols>
  <sheetData>
    <row r="1" spans="1:2">
      <c r="A1" t="s">
        <v>31</v>
      </c>
      <c r="B1" t="s">
        <v>32</v>
      </c>
    </row>
    <row r="2" spans="1:2">
      <c r="A2" t="s">
        <v>33</v>
      </c>
      <c r="B2" t="s">
        <v>34</v>
      </c>
    </row>
    <row r="3" spans="1:2">
      <c r="A3" t="s">
        <v>35</v>
      </c>
      <c r="B3" t="s">
        <v>36</v>
      </c>
    </row>
    <row r="4" spans="1:2">
      <c r="A4" t="s">
        <v>37</v>
      </c>
      <c r="B4" t="s">
        <v>38</v>
      </c>
    </row>
    <row r="5" spans="1:2">
      <c r="A5" t="s">
        <v>39</v>
      </c>
      <c r="B5" t="s">
        <v>40</v>
      </c>
    </row>
    <row r="6" spans="1:2">
      <c r="A6" t="s">
        <v>41</v>
      </c>
      <c r="B6" t="s">
        <v>42</v>
      </c>
    </row>
    <row r="7" spans="1:2">
      <c r="A7" t="s">
        <v>43</v>
      </c>
      <c r="B7" t="s">
        <v>44</v>
      </c>
    </row>
    <row r="8" spans="1:2">
      <c r="A8" t="s">
        <v>45</v>
      </c>
      <c r="B8" t="s">
        <v>46</v>
      </c>
    </row>
    <row r="9" spans="1:2">
      <c r="A9" t="s">
        <v>47</v>
      </c>
      <c r="B9" t="s">
        <v>48</v>
      </c>
    </row>
    <row r="10" spans="1:2">
      <c r="A10" t="s">
        <v>49</v>
      </c>
      <c r="B10" t="s">
        <v>50</v>
      </c>
    </row>
    <row r="11" spans="1:2">
      <c r="A11" t="s">
        <v>51</v>
      </c>
      <c r="B11" t="s">
        <v>52</v>
      </c>
    </row>
    <row r="12" spans="1:2">
      <c r="A12" t="s">
        <v>53</v>
      </c>
      <c r="B12" t="s">
        <v>54</v>
      </c>
    </row>
    <row r="13" spans="1:2">
      <c r="A13" t="s">
        <v>55</v>
      </c>
      <c r="B13" t="s">
        <v>56</v>
      </c>
    </row>
    <row r="14" spans="1:2">
      <c r="A14" t="s">
        <v>57</v>
      </c>
      <c r="B14" t="s">
        <v>58</v>
      </c>
    </row>
    <row r="15" spans="1:2">
      <c r="A15" t="s">
        <v>59</v>
      </c>
      <c r="B15" t="s">
        <v>60</v>
      </c>
    </row>
    <row r="16" spans="1:2">
      <c r="A16" t="s">
        <v>61</v>
      </c>
      <c r="B16" t="s">
        <v>62</v>
      </c>
    </row>
    <row r="17" spans="1:2">
      <c r="A17" t="s">
        <v>63</v>
      </c>
      <c r="B17" t="s">
        <v>64</v>
      </c>
    </row>
    <row r="18" spans="1:2">
      <c r="A18" t="s">
        <v>65</v>
      </c>
      <c r="B18" t="s">
        <v>66</v>
      </c>
    </row>
    <row r="19" spans="1:2">
      <c r="A19" t="s">
        <v>67</v>
      </c>
      <c r="B19" t="s">
        <v>68</v>
      </c>
    </row>
    <row r="21" spans="1:2">
      <c r="A21" t="s">
        <v>69</v>
      </c>
      <c r="B21"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ACDD-23DE-4271-A9E5-FA74BFB06D9E}">
  <sheetPr filterMode="1">
    <tabColor theme="9" tint="0.39997558519241921"/>
  </sheetPr>
  <dimension ref="A1:J36"/>
  <sheetViews>
    <sheetView topLeftCell="A20" workbookViewId="0">
      <selection activeCell="D24" sqref="D24"/>
    </sheetView>
  </sheetViews>
  <sheetFormatPr defaultRowHeight="14.5"/>
  <cols>
    <col min="1" max="1" width="7.453125" customWidth="1"/>
    <col min="2" max="2" width="15.81640625" customWidth="1"/>
    <col min="4" max="4" width="14.453125" customWidth="1"/>
    <col min="5" max="5" width="13.54296875" customWidth="1"/>
    <col min="10" max="10" width="12.7265625" bestFit="1" customWidth="1"/>
    <col min="11" max="11" width="10.1796875" bestFit="1" customWidth="1"/>
  </cols>
  <sheetData>
    <row r="1" spans="1:10">
      <c r="A1" s="39" t="s">
        <v>71</v>
      </c>
      <c r="B1" s="39" t="s">
        <v>3</v>
      </c>
      <c r="C1" s="39" t="s">
        <v>72</v>
      </c>
      <c r="D1" s="39" t="s">
        <v>73</v>
      </c>
      <c r="E1" s="39" t="s">
        <v>74</v>
      </c>
      <c r="I1" s="39" t="s">
        <v>72</v>
      </c>
      <c r="J1" s="39" t="s">
        <v>73</v>
      </c>
    </row>
    <row r="2" spans="1:10">
      <c r="A2">
        <v>2456</v>
      </c>
      <c r="B2" t="s">
        <v>75</v>
      </c>
      <c r="C2" t="s">
        <v>76</v>
      </c>
      <c r="D2" s="56">
        <v>41248</v>
      </c>
      <c r="E2" t="s">
        <v>77</v>
      </c>
      <c r="I2" t="s">
        <v>78</v>
      </c>
      <c r="J2" s="56" t="s">
        <v>79</v>
      </c>
    </row>
    <row r="3" spans="1:10">
      <c r="A3">
        <v>3452</v>
      </c>
      <c r="B3" t="s">
        <v>80</v>
      </c>
      <c r="C3" t="s">
        <v>78</v>
      </c>
      <c r="D3" s="56">
        <v>41186</v>
      </c>
      <c r="E3" t="s">
        <v>77</v>
      </c>
    </row>
    <row r="4" spans="1:10">
      <c r="A4">
        <v>4521</v>
      </c>
      <c r="B4" t="s">
        <v>81</v>
      </c>
      <c r="C4" t="s">
        <v>78</v>
      </c>
      <c r="D4" s="56">
        <v>41124</v>
      </c>
      <c r="E4" t="s">
        <v>82</v>
      </c>
    </row>
    <row r="5" spans="1:10">
      <c r="A5">
        <v>2345</v>
      </c>
      <c r="B5" t="s">
        <v>83</v>
      </c>
      <c r="C5" t="s">
        <v>84</v>
      </c>
      <c r="D5" s="56">
        <v>41083</v>
      </c>
      <c r="E5" t="s">
        <v>77</v>
      </c>
    </row>
    <row r="6" spans="1:10">
      <c r="A6">
        <v>8735</v>
      </c>
      <c r="B6" t="s">
        <v>85</v>
      </c>
      <c r="C6" t="s">
        <v>78</v>
      </c>
      <c r="D6" s="56">
        <v>41213</v>
      </c>
      <c r="E6" t="s">
        <v>77</v>
      </c>
    </row>
    <row r="7" spans="1:10">
      <c r="A7">
        <v>6723</v>
      </c>
      <c r="B7" t="s">
        <v>86</v>
      </c>
      <c r="C7" t="s">
        <v>76</v>
      </c>
      <c r="D7" s="56">
        <v>41180</v>
      </c>
      <c r="E7" t="s">
        <v>82</v>
      </c>
    </row>
    <row r="8" spans="1:10">
      <c r="A8">
        <v>3452</v>
      </c>
      <c r="B8" t="s">
        <v>80</v>
      </c>
      <c r="C8" t="s">
        <v>78</v>
      </c>
      <c r="D8" s="56">
        <v>41188</v>
      </c>
      <c r="E8" t="s">
        <v>77</v>
      </c>
    </row>
    <row r="9" spans="1:10">
      <c r="A9">
        <v>3451</v>
      </c>
      <c r="B9" t="s">
        <v>87</v>
      </c>
      <c r="C9" t="s">
        <v>76</v>
      </c>
      <c r="D9" s="56">
        <v>41047</v>
      </c>
      <c r="E9" t="s">
        <v>77</v>
      </c>
    </row>
    <row r="10" spans="1:10">
      <c r="A10">
        <v>9801</v>
      </c>
      <c r="B10" t="s">
        <v>88</v>
      </c>
      <c r="C10" t="s">
        <v>84</v>
      </c>
      <c r="D10" s="56">
        <v>40983</v>
      </c>
      <c r="E10" t="s">
        <v>89</v>
      </c>
    </row>
    <row r="11" spans="1:10">
      <c r="A11">
        <v>3452</v>
      </c>
      <c r="B11" t="s">
        <v>80</v>
      </c>
      <c r="C11" t="s">
        <v>78</v>
      </c>
      <c r="D11" s="56">
        <v>41186</v>
      </c>
      <c r="E11" t="s">
        <v>77</v>
      </c>
    </row>
    <row r="13" spans="1:10" hidden="1">
      <c r="A13">
        <v>2456</v>
      </c>
      <c r="B13" t="s">
        <v>75</v>
      </c>
      <c r="C13" t="s">
        <v>76</v>
      </c>
      <c r="D13" s="56">
        <v>41248</v>
      </c>
      <c r="E13" t="s">
        <v>77</v>
      </c>
    </row>
    <row r="14" spans="1:10" hidden="1">
      <c r="A14">
        <v>8735</v>
      </c>
      <c r="B14" t="s">
        <v>85</v>
      </c>
      <c r="C14" t="s">
        <v>78</v>
      </c>
      <c r="D14" s="56">
        <v>41213</v>
      </c>
      <c r="E14" t="s">
        <v>77</v>
      </c>
    </row>
    <row r="15" spans="1:10" hidden="1">
      <c r="A15">
        <v>3452</v>
      </c>
      <c r="B15" t="s">
        <v>80</v>
      </c>
      <c r="C15" t="s">
        <v>78</v>
      </c>
      <c r="D15" s="56">
        <v>41188</v>
      </c>
      <c r="E15" t="s">
        <v>77</v>
      </c>
    </row>
    <row r="16" spans="1:10" hidden="1">
      <c r="A16">
        <v>3451</v>
      </c>
      <c r="B16" t="s">
        <v>87</v>
      </c>
      <c r="C16" t="s">
        <v>76</v>
      </c>
      <c r="D16" s="56">
        <v>41047</v>
      </c>
      <c r="E16" t="s">
        <v>77</v>
      </c>
    </row>
    <row r="17" spans="1:5" hidden="1">
      <c r="A17">
        <v>9801</v>
      </c>
      <c r="B17" t="s">
        <v>88</v>
      </c>
      <c r="C17" t="s">
        <v>84</v>
      </c>
      <c r="D17" s="56">
        <v>40983</v>
      </c>
      <c r="E17" t="s">
        <v>89</v>
      </c>
    </row>
    <row r="21" spans="1:5">
      <c r="A21" s="39" t="s">
        <v>71</v>
      </c>
      <c r="B21" s="39" t="s">
        <v>3</v>
      </c>
      <c r="C21" s="39" t="s">
        <v>72</v>
      </c>
      <c r="D21" s="39" t="s">
        <v>73</v>
      </c>
      <c r="E21" s="39" t="s">
        <v>74</v>
      </c>
    </row>
    <row r="22" spans="1:5" hidden="1">
      <c r="A22">
        <v>2456</v>
      </c>
      <c r="B22" t="s">
        <v>75</v>
      </c>
      <c r="C22" t="s">
        <v>76</v>
      </c>
      <c r="D22" s="56">
        <v>41248</v>
      </c>
      <c r="E22" t="s">
        <v>77</v>
      </c>
    </row>
    <row r="23" spans="1:5">
      <c r="A23">
        <v>3452</v>
      </c>
      <c r="B23" t="s">
        <v>80</v>
      </c>
      <c r="C23" t="s">
        <v>78</v>
      </c>
      <c r="D23" s="56">
        <v>41186</v>
      </c>
      <c r="E23" t="s">
        <v>77</v>
      </c>
    </row>
    <row r="24" spans="1:5">
      <c r="A24">
        <v>4521</v>
      </c>
      <c r="B24" t="s">
        <v>81</v>
      </c>
      <c r="C24" t="s">
        <v>78</v>
      </c>
      <c r="D24" s="56">
        <v>41124</v>
      </c>
      <c r="E24" t="s">
        <v>82</v>
      </c>
    </row>
    <row r="25" spans="1:5" hidden="1">
      <c r="A25">
        <v>2345</v>
      </c>
      <c r="B25" t="s">
        <v>83</v>
      </c>
      <c r="C25" t="s">
        <v>84</v>
      </c>
      <c r="D25" s="56">
        <v>41083</v>
      </c>
      <c r="E25" t="s">
        <v>77</v>
      </c>
    </row>
    <row r="26" spans="1:5">
      <c r="A26">
        <v>8735</v>
      </c>
      <c r="B26" t="s">
        <v>85</v>
      </c>
      <c r="C26" t="s">
        <v>78</v>
      </c>
      <c r="D26" s="56">
        <v>41213</v>
      </c>
      <c r="E26" t="s">
        <v>77</v>
      </c>
    </row>
    <row r="27" spans="1:5">
      <c r="A27">
        <v>6723</v>
      </c>
      <c r="B27" t="s">
        <v>86</v>
      </c>
      <c r="C27" t="s">
        <v>76</v>
      </c>
      <c r="D27" s="56">
        <v>41180</v>
      </c>
      <c r="E27" t="s">
        <v>82</v>
      </c>
    </row>
    <row r="28" spans="1:5">
      <c r="A28">
        <v>3452</v>
      </c>
      <c r="B28" t="s">
        <v>80</v>
      </c>
      <c r="C28" t="s">
        <v>78</v>
      </c>
      <c r="D28" s="56">
        <v>41188</v>
      </c>
      <c r="E28" t="s">
        <v>77</v>
      </c>
    </row>
    <row r="29" spans="1:5" hidden="1">
      <c r="A29">
        <v>3451</v>
      </c>
      <c r="B29" t="s">
        <v>87</v>
      </c>
      <c r="C29" t="s">
        <v>76</v>
      </c>
      <c r="D29" s="56">
        <v>41047</v>
      </c>
      <c r="E29" t="s">
        <v>77</v>
      </c>
    </row>
    <row r="30" spans="1:5" hidden="1">
      <c r="A30">
        <v>9801</v>
      </c>
      <c r="B30" t="s">
        <v>88</v>
      </c>
      <c r="C30" t="s">
        <v>84</v>
      </c>
      <c r="D30" s="56">
        <v>40983</v>
      </c>
      <c r="E30" t="s">
        <v>89</v>
      </c>
    </row>
    <row r="31" spans="1:5">
      <c r="A31">
        <v>3452</v>
      </c>
      <c r="B31" t="s">
        <v>80</v>
      </c>
      <c r="C31" t="s">
        <v>78</v>
      </c>
      <c r="D31" s="56">
        <v>41186</v>
      </c>
      <c r="E31" t="s">
        <v>77</v>
      </c>
    </row>
    <row r="34" spans="9:10">
      <c r="I34" s="39" t="s">
        <v>72</v>
      </c>
      <c r="J34" s="39" t="s">
        <v>74</v>
      </c>
    </row>
    <row r="35" spans="9:10">
      <c r="I35" t="s">
        <v>78</v>
      </c>
    </row>
    <row r="36" spans="9:10">
      <c r="J36"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5529-1944-4F70-8D26-031FF2A5453C}">
  <sheetPr>
    <tabColor theme="9" tint="0.39997558519241921"/>
  </sheetPr>
  <dimension ref="A1:J39"/>
  <sheetViews>
    <sheetView workbookViewId="0">
      <selection activeCell="F7" sqref="F7"/>
    </sheetView>
  </sheetViews>
  <sheetFormatPr defaultColWidth="9.1796875" defaultRowHeight="14.5"/>
  <cols>
    <col min="1" max="16384" width="9.1796875" style="60"/>
  </cols>
  <sheetData>
    <row r="1" spans="1:10" s="58" customFormat="1" ht="21">
      <c r="A1" s="57" t="s">
        <v>90</v>
      </c>
    </row>
    <row r="2" spans="1:10" ht="17">
      <c r="A2" s="59"/>
    </row>
    <row r="3" spans="1:10" ht="15.5">
      <c r="A3" s="61" t="s">
        <v>91</v>
      </c>
    </row>
    <row r="5" spans="1:10">
      <c r="C5" s="60" t="s">
        <v>92</v>
      </c>
      <c r="G5" s="60" t="s">
        <v>92</v>
      </c>
      <c r="H5" s="60" t="s">
        <v>93</v>
      </c>
      <c r="I5" s="60" t="s">
        <v>94</v>
      </c>
      <c r="J5" s="60" t="s">
        <v>95</v>
      </c>
    </row>
    <row r="6" spans="1:10">
      <c r="C6" s="60" t="s">
        <v>93</v>
      </c>
    </row>
    <row r="7" spans="1:10">
      <c r="C7" s="60" t="s">
        <v>94</v>
      </c>
    </row>
    <row r="8" spans="1:10">
      <c r="C8" s="60" t="s">
        <v>95</v>
      </c>
    </row>
    <row r="10" spans="1:10" ht="15.5">
      <c r="A10" s="61" t="s">
        <v>96</v>
      </c>
    </row>
    <row r="12" spans="1:10">
      <c r="C12" s="62" t="s">
        <v>92</v>
      </c>
    </row>
    <row r="13" spans="1:10">
      <c r="C13" s="62" t="s">
        <v>93</v>
      </c>
    </row>
    <row r="14" spans="1:10">
      <c r="C14" s="62" t="s">
        <v>94</v>
      </c>
    </row>
    <row r="15" spans="1:10">
      <c r="C15" s="62" t="s">
        <v>95</v>
      </c>
    </row>
    <row r="17" spans="1:3" ht="15.5">
      <c r="A17" s="61" t="s">
        <v>97</v>
      </c>
    </row>
    <row r="19" spans="1:3">
      <c r="C19" s="60" t="s">
        <v>92</v>
      </c>
    </row>
    <row r="20" spans="1:3">
      <c r="C20" s="60" t="s">
        <v>93</v>
      </c>
    </row>
    <row r="21" spans="1:3">
      <c r="C21" s="60" t="s">
        <v>94</v>
      </c>
    </row>
    <row r="22" spans="1:3">
      <c r="C22" s="60" t="s">
        <v>95</v>
      </c>
    </row>
    <row r="24" spans="1:3" ht="15.5">
      <c r="A24" s="61" t="s">
        <v>98</v>
      </c>
    </row>
    <row r="26" spans="1:3">
      <c r="C26" s="60" t="s">
        <v>92</v>
      </c>
    </row>
    <row r="27" spans="1:3">
      <c r="C27" s="60" t="s">
        <v>93</v>
      </c>
    </row>
    <row r="28" spans="1:3">
      <c r="C28" s="60" t="s">
        <v>94</v>
      </c>
    </row>
    <row r="29" spans="1:3">
      <c r="C29" s="60" t="s">
        <v>95</v>
      </c>
    </row>
    <row r="31" spans="1:3" ht="15.5">
      <c r="A31" s="61" t="s">
        <v>99</v>
      </c>
    </row>
    <row r="33" spans="2:5">
      <c r="C33" s="60">
        <v>3</v>
      </c>
      <c r="E33" s="60">
        <v>1</v>
      </c>
    </row>
    <row r="34" spans="2:5">
      <c r="C34" s="60">
        <v>3</v>
      </c>
      <c r="E34" s="60">
        <v>2</v>
      </c>
    </row>
    <row r="35" spans="2:5">
      <c r="C35" s="60">
        <v>4</v>
      </c>
      <c r="E35" s="60">
        <v>3</v>
      </c>
    </row>
    <row r="36" spans="2:5">
      <c r="C36" s="60">
        <v>5</v>
      </c>
      <c r="E36" s="60">
        <v>2</v>
      </c>
    </row>
    <row r="39" spans="2:5">
      <c r="B39" s="63"/>
      <c r="C39" s="63"/>
      <c r="D39" s="63"/>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E462-6702-4E01-9457-AD674867F857}">
  <sheetPr>
    <tabColor theme="9" tint="0.39997558519241921"/>
  </sheetPr>
  <dimension ref="A1:G8"/>
  <sheetViews>
    <sheetView workbookViewId="0">
      <selection activeCell="F7" sqref="F7"/>
    </sheetView>
  </sheetViews>
  <sheetFormatPr defaultColWidth="9.1796875" defaultRowHeight="14.5"/>
  <cols>
    <col min="1" max="1" width="18.26953125" style="60" customWidth="1"/>
    <col min="2" max="2" width="9.54296875" style="60" customWidth="1"/>
    <col min="3" max="6" width="9.1796875" style="60"/>
    <col min="7" max="7" width="10.81640625" style="60" customWidth="1"/>
    <col min="8" max="16384" width="9.1796875" style="60"/>
  </cols>
  <sheetData>
    <row r="1" spans="1:7" s="64" customFormat="1" ht="21">
      <c r="A1" s="57" t="s">
        <v>100</v>
      </c>
    </row>
    <row r="2" spans="1:7" ht="17">
      <c r="A2" s="59"/>
    </row>
    <row r="3" spans="1:7">
      <c r="A3" s="60" t="s">
        <v>101</v>
      </c>
      <c r="B3" s="60" t="s">
        <v>102</v>
      </c>
      <c r="F3" s="60" t="s">
        <v>103</v>
      </c>
      <c r="G3" s="60" t="s">
        <v>104</v>
      </c>
    </row>
    <row r="4" spans="1:7">
      <c r="A4" s="65">
        <v>45394</v>
      </c>
      <c r="B4" s="60">
        <v>123</v>
      </c>
      <c r="F4" s="66" t="s">
        <v>105</v>
      </c>
      <c r="G4" s="60">
        <v>232</v>
      </c>
    </row>
    <row r="5" spans="1:7">
      <c r="A5" s="65">
        <v>44949</v>
      </c>
      <c r="B5" s="60">
        <v>232</v>
      </c>
      <c r="F5" s="66" t="s">
        <v>106</v>
      </c>
      <c r="G5" s="60">
        <v>123</v>
      </c>
    </row>
    <row r="6" spans="1:7">
      <c r="A6" s="65">
        <v>40685</v>
      </c>
      <c r="B6" s="60">
        <v>321</v>
      </c>
      <c r="F6" s="66" t="s">
        <v>107</v>
      </c>
      <c r="G6" s="60">
        <v>560</v>
      </c>
    </row>
    <row r="7" spans="1:7">
      <c r="A7" s="65">
        <v>44774</v>
      </c>
      <c r="B7" s="60">
        <v>21</v>
      </c>
      <c r="F7" s="66" t="s">
        <v>107</v>
      </c>
      <c r="G7" s="60">
        <v>312</v>
      </c>
    </row>
    <row r="8" spans="1:7">
      <c r="A8" s="65">
        <v>41185</v>
      </c>
      <c r="B8" s="60">
        <v>212</v>
      </c>
      <c r="F8" s="66" t="s">
        <v>108</v>
      </c>
      <c r="G8" s="60">
        <v>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230F-6E37-4176-972D-FF16FD8AA8F8}">
  <sheetPr>
    <tabColor theme="9" tint="0.39997558519241921"/>
  </sheetPr>
  <dimension ref="A1:M44"/>
  <sheetViews>
    <sheetView workbookViewId="0">
      <pane xSplit="2" ySplit="1" topLeftCell="C2" activePane="bottomRight" state="frozen"/>
      <selection pane="topRight" activeCell="C1" sqref="C1"/>
      <selection pane="bottomLeft" activeCell="A2" sqref="A2"/>
      <selection pane="bottomRight" activeCell="A2" sqref="A2"/>
    </sheetView>
  </sheetViews>
  <sheetFormatPr defaultRowHeight="14.5"/>
  <cols>
    <col min="1" max="1" width="10" bestFit="1" customWidth="1"/>
    <col min="2" max="2" width="12.453125" customWidth="1"/>
    <col min="5" max="5" width="10.453125" customWidth="1"/>
    <col min="6" max="6" width="13.453125" customWidth="1"/>
    <col min="7" max="7" width="10.453125" customWidth="1"/>
    <col min="8" max="8" width="11.54296875" customWidth="1"/>
    <col min="9" max="9" width="8.54296875" bestFit="1" customWidth="1"/>
    <col min="12" max="14" width="12" customWidth="1"/>
  </cols>
  <sheetData>
    <row r="1" spans="1:13" s="60" customFormat="1">
      <c r="A1" s="67" t="s">
        <v>109</v>
      </c>
      <c r="B1" s="67" t="s">
        <v>110</v>
      </c>
      <c r="C1" s="67" t="s">
        <v>111</v>
      </c>
      <c r="D1" s="67" t="s">
        <v>112</v>
      </c>
      <c r="E1" s="67" t="s">
        <v>113</v>
      </c>
      <c r="F1" s="67" t="s">
        <v>114</v>
      </c>
      <c r="G1" s="67" t="s">
        <v>115</v>
      </c>
      <c r="H1" s="67" t="s">
        <v>116</v>
      </c>
      <c r="I1" s="67" t="s">
        <v>117</v>
      </c>
      <c r="J1" s="67" t="s">
        <v>118</v>
      </c>
    </row>
    <row r="2" spans="1:13" s="60" customFormat="1">
      <c r="A2" s="68">
        <v>44202</v>
      </c>
      <c r="B2" s="68" t="s">
        <v>119</v>
      </c>
      <c r="C2" s="68">
        <v>2014</v>
      </c>
      <c r="D2" s="68" t="s">
        <v>92</v>
      </c>
      <c r="E2" s="68" t="s">
        <v>120</v>
      </c>
      <c r="F2" s="68" t="s">
        <v>121</v>
      </c>
      <c r="G2" s="68">
        <v>95</v>
      </c>
      <c r="H2" s="68">
        <v>1.99</v>
      </c>
      <c r="I2" s="68">
        <v>189.05</v>
      </c>
      <c r="J2" s="68">
        <v>11.343</v>
      </c>
      <c r="L2" s="60" t="s">
        <v>122</v>
      </c>
    </row>
    <row r="3" spans="1:13" s="60" customFormat="1">
      <c r="A3" s="68">
        <v>44219</v>
      </c>
      <c r="B3" s="68" t="s">
        <v>123</v>
      </c>
      <c r="C3" s="68">
        <v>2014</v>
      </c>
      <c r="D3" s="68" t="s">
        <v>93</v>
      </c>
      <c r="E3" s="68" t="s">
        <v>124</v>
      </c>
      <c r="F3" s="68" t="s">
        <v>125</v>
      </c>
      <c r="G3" s="68">
        <v>50</v>
      </c>
      <c r="H3" s="68">
        <v>19.989999999999998</v>
      </c>
      <c r="I3" s="68">
        <v>999.49999999999989</v>
      </c>
      <c r="J3" s="68">
        <v>299.84999999999997</v>
      </c>
      <c r="L3" s="60" t="s">
        <v>126</v>
      </c>
    </row>
    <row r="4" spans="1:13" s="60" customFormat="1">
      <c r="A4" s="68">
        <v>44236</v>
      </c>
      <c r="B4" s="68" t="s">
        <v>119</v>
      </c>
      <c r="C4" s="68">
        <v>2014</v>
      </c>
      <c r="D4" s="68" t="s">
        <v>94</v>
      </c>
      <c r="E4" s="68" t="s">
        <v>124</v>
      </c>
      <c r="F4" s="68" t="s">
        <v>127</v>
      </c>
      <c r="G4" s="68">
        <v>36</v>
      </c>
      <c r="H4" s="68">
        <v>4.99</v>
      </c>
      <c r="I4" s="68">
        <v>179.64000000000001</v>
      </c>
      <c r="J4" s="68">
        <v>64.670400000000001</v>
      </c>
      <c r="L4" s="60" t="s">
        <v>128</v>
      </c>
    </row>
    <row r="5" spans="1:13" s="60" customFormat="1">
      <c r="A5" s="68">
        <v>44253</v>
      </c>
      <c r="B5" s="68" t="s">
        <v>129</v>
      </c>
      <c r="C5" s="68">
        <v>2014</v>
      </c>
      <c r="D5" s="68" t="s">
        <v>95</v>
      </c>
      <c r="E5" s="68" t="s">
        <v>124</v>
      </c>
      <c r="F5" s="68" t="s">
        <v>130</v>
      </c>
      <c r="G5" s="68">
        <v>27</v>
      </c>
      <c r="H5" s="68">
        <v>19.989999999999998</v>
      </c>
      <c r="I5" s="68">
        <v>539.7299999999999</v>
      </c>
      <c r="J5" s="68">
        <v>226.68659999999994</v>
      </c>
    </row>
    <row r="6" spans="1:13" s="60" customFormat="1">
      <c r="A6" s="68">
        <v>44270</v>
      </c>
      <c r="B6" s="68" t="s">
        <v>119</v>
      </c>
      <c r="C6" s="68">
        <v>2014</v>
      </c>
      <c r="D6" s="68" t="s">
        <v>131</v>
      </c>
      <c r="E6" s="68" t="s">
        <v>132</v>
      </c>
      <c r="F6" s="68" t="s">
        <v>133</v>
      </c>
      <c r="G6" s="68">
        <v>56</v>
      </c>
      <c r="H6" s="68">
        <v>2.99</v>
      </c>
      <c r="I6" s="68">
        <v>167.44</v>
      </c>
      <c r="J6" s="68">
        <v>75.347999999999999</v>
      </c>
    </row>
    <row r="7" spans="1:13" s="60" customFormat="1">
      <c r="A7" s="68">
        <v>44287</v>
      </c>
      <c r="B7" s="68" t="s">
        <v>123</v>
      </c>
      <c r="C7" s="68">
        <v>2014</v>
      </c>
      <c r="D7" s="68" t="s">
        <v>134</v>
      </c>
      <c r="E7" s="68" t="s">
        <v>120</v>
      </c>
      <c r="F7" s="68" t="s">
        <v>121</v>
      </c>
      <c r="G7" s="68">
        <v>60</v>
      </c>
      <c r="H7" s="68">
        <v>4.99</v>
      </c>
      <c r="I7" s="68">
        <v>299.40000000000003</v>
      </c>
      <c r="J7" s="68">
        <v>128.74200000000002</v>
      </c>
    </row>
    <row r="8" spans="1:13" s="60" customFormat="1">
      <c r="A8" s="68">
        <v>44304</v>
      </c>
      <c r="B8" s="68" t="s">
        <v>119</v>
      </c>
      <c r="C8" s="68">
        <v>2014</v>
      </c>
      <c r="D8" s="68" t="s">
        <v>135</v>
      </c>
      <c r="E8" s="68" t="s">
        <v>124</v>
      </c>
      <c r="F8" s="68" t="s">
        <v>136</v>
      </c>
      <c r="G8" s="68">
        <v>75</v>
      </c>
      <c r="H8" s="68">
        <v>1.99</v>
      </c>
      <c r="I8" s="68">
        <v>149.25</v>
      </c>
      <c r="J8" s="68">
        <v>62.684999999999995</v>
      </c>
    </row>
    <row r="9" spans="1:13" s="60" customFormat="1">
      <c r="A9" s="68">
        <v>44321</v>
      </c>
      <c r="B9" s="68" t="s">
        <v>119</v>
      </c>
      <c r="C9" s="68">
        <v>2014</v>
      </c>
      <c r="D9" s="68" t="s">
        <v>137</v>
      </c>
      <c r="E9" s="68" t="s">
        <v>124</v>
      </c>
      <c r="F9" s="68" t="s">
        <v>127</v>
      </c>
      <c r="G9" s="68">
        <v>90</v>
      </c>
      <c r="H9" s="68">
        <v>4.99</v>
      </c>
      <c r="I9" s="68">
        <v>449.1</v>
      </c>
      <c r="J9" s="68">
        <v>269.45999999999998</v>
      </c>
    </row>
    <row r="10" spans="1:13" s="60" customFormat="1">
      <c r="A10" s="68">
        <v>44338</v>
      </c>
      <c r="B10" s="68" t="s">
        <v>119</v>
      </c>
      <c r="C10" s="68">
        <v>2014</v>
      </c>
      <c r="D10" s="68" t="s">
        <v>138</v>
      </c>
      <c r="E10" s="68" t="s">
        <v>132</v>
      </c>
      <c r="F10" s="68" t="s">
        <v>139</v>
      </c>
      <c r="G10" s="68">
        <v>32</v>
      </c>
      <c r="H10" s="68">
        <v>1.99</v>
      </c>
      <c r="I10" s="68">
        <v>63.68</v>
      </c>
      <c r="J10" s="68">
        <v>10.825600000000001</v>
      </c>
      <c r="M10" s="69"/>
    </row>
    <row r="11" spans="1:13" s="60" customFormat="1">
      <c r="A11" s="68">
        <v>44355</v>
      </c>
      <c r="B11" s="68" t="s">
        <v>123</v>
      </c>
      <c r="C11" s="68">
        <v>2014</v>
      </c>
      <c r="D11" s="68" t="s">
        <v>140</v>
      </c>
      <c r="E11" s="68" t="s">
        <v>120</v>
      </c>
      <c r="F11" s="68" t="s">
        <v>121</v>
      </c>
      <c r="G11" s="68">
        <v>60</v>
      </c>
      <c r="H11" s="68">
        <v>8.99</v>
      </c>
      <c r="I11" s="68">
        <v>539.4</v>
      </c>
      <c r="J11" s="68">
        <v>231.94199999999998</v>
      </c>
    </row>
    <row r="12" spans="1:13" s="60" customFormat="1">
      <c r="A12" s="68">
        <v>44372</v>
      </c>
      <c r="B12" s="68" t="s">
        <v>119</v>
      </c>
      <c r="C12" s="68">
        <v>2014</v>
      </c>
      <c r="D12" s="68" t="s">
        <v>141</v>
      </c>
      <c r="E12" s="68" t="s">
        <v>124</v>
      </c>
      <c r="F12" s="68" t="s">
        <v>142</v>
      </c>
      <c r="G12" s="68">
        <v>90</v>
      </c>
      <c r="H12" s="68">
        <v>4.99</v>
      </c>
      <c r="I12" s="68">
        <v>449.1</v>
      </c>
      <c r="J12" s="68">
        <v>157.185</v>
      </c>
      <c r="M12" s="70"/>
    </row>
    <row r="13" spans="1:13" s="60" customFormat="1">
      <c r="A13" s="68">
        <v>44389</v>
      </c>
      <c r="B13" s="68" t="s">
        <v>123</v>
      </c>
      <c r="C13" s="68">
        <v>2014</v>
      </c>
      <c r="D13" s="68" t="s">
        <v>143</v>
      </c>
      <c r="E13" s="68" t="s">
        <v>120</v>
      </c>
      <c r="F13" s="68" t="s">
        <v>144</v>
      </c>
      <c r="G13" s="68">
        <v>29</v>
      </c>
      <c r="H13" s="68">
        <v>1.99</v>
      </c>
      <c r="I13" s="68">
        <v>57.71</v>
      </c>
      <c r="J13" s="68">
        <v>16.735899999999997</v>
      </c>
    </row>
    <row r="14" spans="1:13" s="60" customFormat="1">
      <c r="A14" s="68">
        <v>44406</v>
      </c>
      <c r="B14" s="68" t="s">
        <v>123</v>
      </c>
      <c r="C14" s="68">
        <v>2015</v>
      </c>
      <c r="D14" s="68" t="s">
        <v>92</v>
      </c>
      <c r="E14" s="68" t="s">
        <v>120</v>
      </c>
      <c r="F14" s="68" t="s">
        <v>145</v>
      </c>
      <c r="G14" s="68">
        <v>81</v>
      </c>
      <c r="H14" s="68">
        <v>19.989999999999998</v>
      </c>
      <c r="I14" s="68">
        <v>1619.1899999999998</v>
      </c>
      <c r="J14" s="68">
        <v>841.97879999999998</v>
      </c>
    </row>
    <row r="15" spans="1:13" s="60" customFormat="1">
      <c r="A15" s="68">
        <v>44423</v>
      </c>
      <c r="B15" s="68" t="s">
        <v>119</v>
      </c>
      <c r="C15" s="68">
        <v>2015</v>
      </c>
      <c r="D15" s="68" t="s">
        <v>93</v>
      </c>
      <c r="E15" s="68" t="s">
        <v>120</v>
      </c>
      <c r="F15" s="68" t="s">
        <v>121</v>
      </c>
      <c r="G15" s="68">
        <v>35</v>
      </c>
      <c r="H15" s="68">
        <v>4.99</v>
      </c>
      <c r="I15" s="68">
        <v>174.65</v>
      </c>
      <c r="J15" s="68">
        <v>97.804000000000016</v>
      </c>
    </row>
    <row r="16" spans="1:13" s="60" customFormat="1">
      <c r="A16" s="68">
        <v>44440</v>
      </c>
      <c r="B16" s="68" t="s">
        <v>146</v>
      </c>
      <c r="C16" s="68">
        <v>2015</v>
      </c>
      <c r="D16" s="68" t="s">
        <v>94</v>
      </c>
      <c r="E16" s="68" t="s">
        <v>124</v>
      </c>
      <c r="F16" s="68" t="s">
        <v>147</v>
      </c>
      <c r="G16" s="68">
        <v>2</v>
      </c>
      <c r="H16" s="68">
        <v>125</v>
      </c>
      <c r="I16" s="68">
        <v>250</v>
      </c>
      <c r="J16" s="68">
        <v>95</v>
      </c>
    </row>
    <row r="17" spans="1:10" s="60" customFormat="1">
      <c r="A17" s="68">
        <v>44457</v>
      </c>
      <c r="B17" s="68" t="s">
        <v>148</v>
      </c>
      <c r="C17" s="68">
        <v>2015</v>
      </c>
      <c r="D17" s="68" t="s">
        <v>95</v>
      </c>
      <c r="E17" s="68" t="s">
        <v>120</v>
      </c>
      <c r="F17" s="68" t="s">
        <v>121</v>
      </c>
      <c r="G17" s="68">
        <v>16</v>
      </c>
      <c r="H17" s="68">
        <v>15.99</v>
      </c>
      <c r="I17" s="68">
        <v>255.84</v>
      </c>
      <c r="J17" s="68">
        <v>133.0368</v>
      </c>
    </row>
    <row r="18" spans="1:10" s="60" customFormat="1">
      <c r="A18" s="68">
        <v>44474</v>
      </c>
      <c r="B18" s="68" t="s">
        <v>123</v>
      </c>
      <c r="C18" s="68">
        <v>2015</v>
      </c>
      <c r="D18" s="68" t="s">
        <v>131</v>
      </c>
      <c r="E18" s="68" t="s">
        <v>124</v>
      </c>
      <c r="F18" s="68" t="s">
        <v>142</v>
      </c>
      <c r="G18" s="68">
        <v>28</v>
      </c>
      <c r="H18" s="68">
        <v>8.99</v>
      </c>
      <c r="I18" s="68">
        <v>251.72</v>
      </c>
      <c r="J18" s="68">
        <v>123.3428</v>
      </c>
    </row>
    <row r="19" spans="1:10" s="60" customFormat="1">
      <c r="A19" s="68">
        <v>44491</v>
      </c>
      <c r="B19" s="68" t="s">
        <v>129</v>
      </c>
      <c r="C19" s="68">
        <v>2015</v>
      </c>
      <c r="D19" s="68" t="s">
        <v>134</v>
      </c>
      <c r="E19" s="68" t="s">
        <v>120</v>
      </c>
      <c r="F19" s="68" t="s">
        <v>121</v>
      </c>
      <c r="G19" s="68">
        <v>64</v>
      </c>
      <c r="H19" s="68">
        <v>8.99</v>
      </c>
      <c r="I19" s="68">
        <v>575.36</v>
      </c>
      <c r="J19" s="68">
        <v>287.68</v>
      </c>
    </row>
    <row r="20" spans="1:10" s="60" customFormat="1">
      <c r="A20" s="68">
        <v>44508</v>
      </c>
      <c r="B20" s="68" t="s">
        <v>129</v>
      </c>
      <c r="C20" s="68">
        <v>2015</v>
      </c>
      <c r="D20" s="68" t="s">
        <v>135</v>
      </c>
      <c r="E20" s="68" t="s">
        <v>120</v>
      </c>
      <c r="F20" s="68" t="s">
        <v>145</v>
      </c>
      <c r="G20" s="68">
        <v>15</v>
      </c>
      <c r="H20" s="68">
        <v>19.989999999999998</v>
      </c>
      <c r="I20" s="68">
        <v>299.84999999999997</v>
      </c>
      <c r="J20" s="68">
        <v>38.980499999999999</v>
      </c>
    </row>
    <row r="21" spans="1:10" s="60" customFormat="1">
      <c r="A21" s="68">
        <v>44525</v>
      </c>
      <c r="B21" s="68" t="s">
        <v>148</v>
      </c>
      <c r="C21" s="68">
        <v>2015</v>
      </c>
      <c r="D21" s="68" t="s">
        <v>137</v>
      </c>
      <c r="E21" s="68" t="s">
        <v>124</v>
      </c>
      <c r="F21" s="68" t="s">
        <v>125</v>
      </c>
      <c r="G21" s="68">
        <v>96</v>
      </c>
      <c r="H21" s="68">
        <v>4.99</v>
      </c>
      <c r="I21" s="68">
        <v>479.04</v>
      </c>
      <c r="J21" s="68">
        <v>239.52</v>
      </c>
    </row>
    <row r="22" spans="1:10" s="60" customFormat="1">
      <c r="A22" s="68">
        <v>44542</v>
      </c>
      <c r="B22" s="68" t="s">
        <v>119</v>
      </c>
      <c r="C22" s="68">
        <v>2015</v>
      </c>
      <c r="D22" s="68" t="s">
        <v>138</v>
      </c>
      <c r="E22" s="68" t="s">
        <v>124</v>
      </c>
      <c r="F22" s="68" t="s">
        <v>147</v>
      </c>
      <c r="G22" s="68">
        <v>67</v>
      </c>
      <c r="H22" s="68">
        <v>1.29</v>
      </c>
      <c r="I22" s="68">
        <v>86.43</v>
      </c>
      <c r="J22" s="68">
        <v>25.929000000000002</v>
      </c>
    </row>
    <row r="23" spans="1:10" s="60" customFormat="1">
      <c r="A23" s="68">
        <v>44559</v>
      </c>
      <c r="B23" s="68" t="s">
        <v>148</v>
      </c>
      <c r="C23" s="68">
        <v>2015</v>
      </c>
      <c r="D23" s="68" t="s">
        <v>140</v>
      </c>
      <c r="E23" s="68" t="s">
        <v>120</v>
      </c>
      <c r="F23" s="68" t="s">
        <v>145</v>
      </c>
      <c r="G23" s="68">
        <v>74</v>
      </c>
      <c r="H23" s="68">
        <v>15.99</v>
      </c>
      <c r="I23" s="68">
        <v>1183.26</v>
      </c>
      <c r="J23" s="68">
        <v>236.65200000000002</v>
      </c>
    </row>
    <row r="24" spans="1:10" s="60" customFormat="1">
      <c r="A24" s="68">
        <v>44576</v>
      </c>
      <c r="B24" s="68" t="s">
        <v>123</v>
      </c>
      <c r="C24" s="68">
        <v>2015</v>
      </c>
      <c r="D24" s="68" t="s">
        <v>141</v>
      </c>
      <c r="E24" s="68" t="s">
        <v>124</v>
      </c>
      <c r="F24" s="68" t="s">
        <v>130</v>
      </c>
      <c r="G24" s="68">
        <v>46</v>
      </c>
      <c r="H24" s="68">
        <v>8.99</v>
      </c>
      <c r="I24" s="68">
        <v>413.54</v>
      </c>
      <c r="J24" s="68">
        <v>140.60360000000003</v>
      </c>
    </row>
    <row r="25" spans="1:10" s="60" customFormat="1">
      <c r="A25" s="68">
        <v>44593</v>
      </c>
      <c r="B25" s="68" t="s">
        <v>123</v>
      </c>
      <c r="C25" s="68">
        <v>2015</v>
      </c>
      <c r="D25" s="68" t="s">
        <v>143</v>
      </c>
      <c r="E25" s="68" t="s">
        <v>124</v>
      </c>
      <c r="F25" s="68" t="s">
        <v>147</v>
      </c>
      <c r="G25" s="68">
        <v>87</v>
      </c>
      <c r="H25" s="68">
        <v>15</v>
      </c>
      <c r="I25" s="68">
        <v>1305</v>
      </c>
      <c r="J25" s="68">
        <v>91.350000000000009</v>
      </c>
    </row>
    <row r="26" spans="1:10" s="60" customFormat="1">
      <c r="A26" s="68">
        <v>44610</v>
      </c>
      <c r="B26" s="68" t="s">
        <v>123</v>
      </c>
      <c r="C26" s="68">
        <v>2016</v>
      </c>
      <c r="D26" s="68" t="s">
        <v>92</v>
      </c>
      <c r="E26" s="68" t="s">
        <v>120</v>
      </c>
      <c r="F26" s="68" t="s">
        <v>121</v>
      </c>
      <c r="G26" s="68">
        <v>4</v>
      </c>
      <c r="H26" s="68">
        <v>4.99</v>
      </c>
      <c r="I26" s="68">
        <v>19.96</v>
      </c>
      <c r="J26" s="68">
        <v>5.1896000000000004</v>
      </c>
    </row>
    <row r="27" spans="1:10" s="60" customFormat="1">
      <c r="A27" s="68">
        <v>44627</v>
      </c>
      <c r="B27" s="68" t="s">
        <v>123</v>
      </c>
      <c r="C27" s="68">
        <v>2016</v>
      </c>
      <c r="D27" s="68" t="s">
        <v>93</v>
      </c>
      <c r="E27" s="68" t="s">
        <v>132</v>
      </c>
      <c r="F27" s="68" t="s">
        <v>133</v>
      </c>
      <c r="G27" s="68">
        <v>7</v>
      </c>
      <c r="H27" s="68">
        <v>19.989999999999998</v>
      </c>
      <c r="I27" s="68">
        <v>139.92999999999998</v>
      </c>
      <c r="J27" s="68">
        <v>25.187399999999997</v>
      </c>
    </row>
    <row r="28" spans="1:10" s="60" customFormat="1">
      <c r="A28" s="68">
        <v>44644</v>
      </c>
      <c r="B28" s="68" t="s">
        <v>148</v>
      </c>
      <c r="C28" s="68">
        <v>2016</v>
      </c>
      <c r="D28" s="68" t="s">
        <v>94</v>
      </c>
      <c r="E28" s="68" t="s">
        <v>124</v>
      </c>
      <c r="F28" s="68" t="s">
        <v>127</v>
      </c>
      <c r="G28" s="68">
        <v>50</v>
      </c>
      <c r="H28" s="68">
        <v>4.99</v>
      </c>
      <c r="I28" s="68">
        <v>249.5</v>
      </c>
      <c r="J28" s="68">
        <v>39.92</v>
      </c>
    </row>
    <row r="29" spans="1:10" s="60" customFormat="1">
      <c r="A29" s="68">
        <v>44661</v>
      </c>
      <c r="B29" s="68" t="s">
        <v>119</v>
      </c>
      <c r="C29" s="68">
        <v>2016</v>
      </c>
      <c r="D29" s="68" t="s">
        <v>95</v>
      </c>
      <c r="E29" s="68" t="s">
        <v>124</v>
      </c>
      <c r="F29" s="68" t="s">
        <v>136</v>
      </c>
      <c r="G29" s="68">
        <v>66</v>
      </c>
      <c r="H29" s="68">
        <v>1.99</v>
      </c>
      <c r="I29" s="68">
        <v>131.34</v>
      </c>
      <c r="J29" s="68">
        <v>17.074200000000001</v>
      </c>
    </row>
    <row r="30" spans="1:10" s="60" customFormat="1">
      <c r="A30" s="68">
        <v>44678</v>
      </c>
      <c r="B30" s="68" t="s">
        <v>129</v>
      </c>
      <c r="C30" s="68">
        <v>2016</v>
      </c>
      <c r="D30" s="68" t="s">
        <v>131</v>
      </c>
      <c r="E30" s="68" t="s">
        <v>120</v>
      </c>
      <c r="F30" s="68" t="s">
        <v>144</v>
      </c>
      <c r="G30" s="68">
        <v>96</v>
      </c>
      <c r="H30" s="68">
        <v>4.99</v>
      </c>
      <c r="I30" s="68">
        <v>479.04</v>
      </c>
      <c r="J30" s="68">
        <v>182.0352</v>
      </c>
    </row>
    <row r="31" spans="1:10" s="60" customFormat="1">
      <c r="A31" s="68">
        <v>44695</v>
      </c>
      <c r="B31" s="68" t="s">
        <v>119</v>
      </c>
      <c r="C31" s="68">
        <v>2016</v>
      </c>
      <c r="D31" s="68" t="s">
        <v>134</v>
      </c>
      <c r="E31" s="68" t="s">
        <v>124</v>
      </c>
      <c r="F31" s="68" t="s">
        <v>130</v>
      </c>
      <c r="G31" s="68">
        <v>53</v>
      </c>
      <c r="H31" s="68">
        <v>1.29</v>
      </c>
      <c r="I31" s="68">
        <v>68.37</v>
      </c>
      <c r="J31" s="68">
        <v>4.7859000000000007</v>
      </c>
    </row>
    <row r="32" spans="1:10" s="60" customFormat="1">
      <c r="A32" s="68">
        <v>44712</v>
      </c>
      <c r="B32" s="68" t="s">
        <v>123</v>
      </c>
      <c r="C32" s="68">
        <v>2016</v>
      </c>
      <c r="D32" s="68" t="s">
        <v>135</v>
      </c>
      <c r="E32" s="68" t="s">
        <v>124</v>
      </c>
      <c r="F32" s="68" t="s">
        <v>130</v>
      </c>
      <c r="G32" s="68">
        <v>80</v>
      </c>
      <c r="H32" s="68">
        <v>8.99</v>
      </c>
      <c r="I32" s="68">
        <v>719.2</v>
      </c>
      <c r="J32" s="68">
        <v>338.024</v>
      </c>
    </row>
    <row r="33" spans="1:10" s="60" customFormat="1">
      <c r="A33" s="68">
        <v>44729</v>
      </c>
      <c r="B33" s="68" t="s">
        <v>146</v>
      </c>
      <c r="C33" s="68">
        <v>2016</v>
      </c>
      <c r="D33" s="68" t="s">
        <v>137</v>
      </c>
      <c r="E33" s="68" t="s">
        <v>124</v>
      </c>
      <c r="F33" s="68" t="s">
        <v>125</v>
      </c>
      <c r="G33" s="68">
        <v>5</v>
      </c>
      <c r="H33" s="68">
        <v>125</v>
      </c>
      <c r="I33" s="68">
        <v>625</v>
      </c>
      <c r="J33" s="68">
        <v>350.00000000000006</v>
      </c>
    </row>
    <row r="34" spans="1:10" s="60" customFormat="1">
      <c r="A34" s="68">
        <v>44746</v>
      </c>
      <c r="B34" s="68" t="s">
        <v>148</v>
      </c>
      <c r="C34" s="68">
        <v>2016</v>
      </c>
      <c r="D34" s="68" t="s">
        <v>138</v>
      </c>
      <c r="E34" s="68" t="s">
        <v>120</v>
      </c>
      <c r="F34" s="68" t="s">
        <v>121</v>
      </c>
      <c r="G34" s="68">
        <v>62</v>
      </c>
      <c r="H34" s="68">
        <v>4.99</v>
      </c>
      <c r="I34" s="68">
        <v>309.38</v>
      </c>
      <c r="J34" s="68">
        <v>151.59619999999998</v>
      </c>
    </row>
    <row r="35" spans="1:10" s="60" customFormat="1">
      <c r="A35" s="68">
        <v>44763</v>
      </c>
      <c r="B35" s="68" t="s">
        <v>148</v>
      </c>
      <c r="C35" s="68">
        <v>2016</v>
      </c>
      <c r="D35" s="68" t="s">
        <v>140</v>
      </c>
      <c r="E35" s="68" t="s">
        <v>124</v>
      </c>
      <c r="F35" s="68" t="s">
        <v>142</v>
      </c>
      <c r="G35" s="68">
        <v>55</v>
      </c>
      <c r="H35" s="68">
        <v>12.49</v>
      </c>
      <c r="I35" s="68">
        <v>686.95</v>
      </c>
      <c r="J35" s="68">
        <v>61.825500000000005</v>
      </c>
    </row>
    <row r="36" spans="1:10" s="60" customFormat="1">
      <c r="A36" s="68">
        <v>44780</v>
      </c>
      <c r="B36" s="68" t="s">
        <v>148</v>
      </c>
      <c r="C36" s="68">
        <v>2016</v>
      </c>
      <c r="D36" s="68" t="s">
        <v>141</v>
      </c>
      <c r="E36" s="68" t="s">
        <v>124</v>
      </c>
      <c r="F36" s="68" t="s">
        <v>125</v>
      </c>
      <c r="G36" s="68">
        <v>42</v>
      </c>
      <c r="H36" s="68">
        <v>23.95</v>
      </c>
      <c r="I36" s="68">
        <v>1005.9</v>
      </c>
      <c r="J36" s="68">
        <v>281.65200000000004</v>
      </c>
    </row>
    <row r="37" spans="1:10" s="60" customFormat="1">
      <c r="A37" s="68">
        <v>44797</v>
      </c>
      <c r="B37" s="68" t="s">
        <v>146</v>
      </c>
      <c r="C37" s="68">
        <v>2016</v>
      </c>
      <c r="D37" s="68" t="s">
        <v>143</v>
      </c>
      <c r="E37" s="68" t="s">
        <v>132</v>
      </c>
      <c r="F37" s="68" t="s">
        <v>133</v>
      </c>
      <c r="G37" s="68">
        <v>3</v>
      </c>
      <c r="H37" s="68">
        <v>275</v>
      </c>
      <c r="I37" s="68">
        <v>825</v>
      </c>
      <c r="J37" s="68">
        <v>387.75</v>
      </c>
    </row>
    <row r="38" spans="1:10" s="60" customFormat="1">
      <c r="A38" s="68">
        <v>44814</v>
      </c>
      <c r="B38" s="68" t="s">
        <v>119</v>
      </c>
      <c r="C38" s="68">
        <v>2014</v>
      </c>
      <c r="D38" s="68" t="s">
        <v>92</v>
      </c>
      <c r="E38" s="68" t="s">
        <v>124</v>
      </c>
      <c r="F38" s="68" t="s">
        <v>130</v>
      </c>
      <c r="G38" s="68">
        <v>7</v>
      </c>
      <c r="H38" s="68">
        <v>1.29</v>
      </c>
      <c r="I38" s="68">
        <v>9.0300000000000011</v>
      </c>
      <c r="J38" s="68">
        <v>3.3411000000000004</v>
      </c>
    </row>
    <row r="39" spans="1:10" s="60" customFormat="1">
      <c r="A39" s="68">
        <v>44831</v>
      </c>
      <c r="B39" s="68" t="s">
        <v>129</v>
      </c>
      <c r="C39" s="68">
        <v>2014</v>
      </c>
      <c r="D39" s="68" t="s">
        <v>93</v>
      </c>
      <c r="E39" s="68" t="s">
        <v>132</v>
      </c>
      <c r="F39" s="68" t="s">
        <v>133</v>
      </c>
      <c r="G39" s="68">
        <v>76</v>
      </c>
      <c r="H39" s="68">
        <v>1.99</v>
      </c>
      <c r="I39" s="68">
        <v>151.24</v>
      </c>
      <c r="J39" s="68">
        <v>27.223200000000002</v>
      </c>
    </row>
    <row r="40" spans="1:10" s="60" customFormat="1">
      <c r="A40" s="68">
        <v>44848</v>
      </c>
      <c r="B40" s="68" t="s">
        <v>123</v>
      </c>
      <c r="C40" s="68">
        <v>2014</v>
      </c>
      <c r="D40" s="68" t="s">
        <v>94</v>
      </c>
      <c r="E40" s="68" t="s">
        <v>132</v>
      </c>
      <c r="F40" s="68" t="s">
        <v>139</v>
      </c>
      <c r="G40" s="68">
        <v>57</v>
      </c>
      <c r="H40" s="68">
        <v>19.989999999999998</v>
      </c>
      <c r="I40" s="68">
        <v>1139.4299999999998</v>
      </c>
      <c r="J40" s="68">
        <v>603.89789999999994</v>
      </c>
    </row>
    <row r="41" spans="1:10" s="60" customFormat="1">
      <c r="A41" s="68">
        <v>44865</v>
      </c>
      <c r="B41" s="68" t="s">
        <v>119</v>
      </c>
      <c r="C41" s="68">
        <v>2014</v>
      </c>
      <c r="D41" s="68" t="s">
        <v>95</v>
      </c>
      <c r="E41" s="68" t="s">
        <v>124</v>
      </c>
      <c r="F41" s="68" t="s">
        <v>136</v>
      </c>
      <c r="G41" s="68">
        <v>14</v>
      </c>
      <c r="H41" s="68">
        <v>1.29</v>
      </c>
      <c r="I41" s="68">
        <v>18.060000000000002</v>
      </c>
      <c r="J41" s="68">
        <v>5.0568000000000008</v>
      </c>
    </row>
    <row r="42" spans="1:10" s="60" customFormat="1">
      <c r="A42" s="68">
        <v>44882</v>
      </c>
      <c r="B42" s="68" t="s">
        <v>123</v>
      </c>
      <c r="C42" s="68">
        <v>2014</v>
      </c>
      <c r="D42" s="68" t="s">
        <v>131</v>
      </c>
      <c r="E42" s="68" t="s">
        <v>124</v>
      </c>
      <c r="F42" s="68" t="s">
        <v>127</v>
      </c>
      <c r="G42" s="68">
        <v>11</v>
      </c>
      <c r="H42" s="68">
        <v>4.99</v>
      </c>
      <c r="I42" s="68">
        <v>54.89</v>
      </c>
      <c r="J42" s="68">
        <v>6.0379000000000005</v>
      </c>
    </row>
    <row r="43" spans="1:10" s="60" customFormat="1">
      <c r="A43" s="68">
        <v>44899</v>
      </c>
      <c r="B43" s="68" t="s">
        <v>123</v>
      </c>
      <c r="C43" s="68">
        <v>2014</v>
      </c>
      <c r="D43" s="68" t="s">
        <v>134</v>
      </c>
      <c r="E43" s="68" t="s">
        <v>124</v>
      </c>
      <c r="F43" s="68" t="s">
        <v>127</v>
      </c>
      <c r="G43" s="68">
        <v>94</v>
      </c>
      <c r="H43" s="68">
        <v>19.989999999999998</v>
      </c>
      <c r="I43" s="68">
        <v>1879.06</v>
      </c>
      <c r="J43" s="68">
        <v>544.92739999999992</v>
      </c>
    </row>
    <row r="44" spans="1:10" s="60" customFormat="1">
      <c r="A44" s="68">
        <v>44916</v>
      </c>
      <c r="B44" s="68" t="s">
        <v>123</v>
      </c>
      <c r="C44" s="68">
        <v>2014</v>
      </c>
      <c r="D44" s="68" t="s">
        <v>135</v>
      </c>
      <c r="E44" s="68" t="s">
        <v>124</v>
      </c>
      <c r="F44" s="68" t="s">
        <v>136</v>
      </c>
      <c r="G44" s="68">
        <v>28</v>
      </c>
      <c r="H44" s="68">
        <v>4.99</v>
      </c>
      <c r="I44" s="68">
        <v>139.72</v>
      </c>
      <c r="J44" s="68">
        <v>39.121600000000001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1096-C5EC-4F69-A754-E1C6767C4CC9}">
  <sheetPr>
    <tabColor rgb="FF00B0F0"/>
  </sheetPr>
  <dimension ref="A1:H15"/>
  <sheetViews>
    <sheetView workbookViewId="0">
      <selection activeCell="A2" sqref="A2"/>
    </sheetView>
  </sheetViews>
  <sheetFormatPr defaultRowHeight="14.5"/>
  <cols>
    <col min="1" max="1" width="14.26953125" customWidth="1"/>
    <col min="2" max="2" width="20.26953125" style="76" customWidth="1"/>
    <col min="3" max="3" width="14.7265625" bestFit="1" customWidth="1"/>
    <col min="4" max="4" width="13.26953125" bestFit="1" customWidth="1"/>
    <col min="5" max="5" width="12.7265625" bestFit="1" customWidth="1"/>
    <col min="6" max="6" width="11.81640625" customWidth="1"/>
  </cols>
  <sheetData>
    <row r="1" spans="1:8" s="60" customFormat="1" ht="18.5">
      <c r="A1" s="71" t="s">
        <v>149</v>
      </c>
      <c r="B1" s="72"/>
    </row>
    <row r="2" spans="1:8" s="60" customFormat="1">
      <c r="B2" s="72"/>
    </row>
    <row r="3" spans="1:8" s="60" customFormat="1">
      <c r="A3" s="73" t="s">
        <v>102</v>
      </c>
      <c r="B3" s="74" t="s">
        <v>13</v>
      </c>
      <c r="C3" s="75" t="s">
        <v>150</v>
      </c>
      <c r="D3" s="75" t="s">
        <v>151</v>
      </c>
    </row>
    <row r="4" spans="1:8" s="60" customFormat="1">
      <c r="A4" s="60">
        <v>20167</v>
      </c>
      <c r="B4" s="72" t="s">
        <v>152</v>
      </c>
      <c r="C4" s="60" t="str">
        <f>PROPER(B4)</f>
        <v>Meena      Raut</v>
      </c>
      <c r="D4" s="60" t="str">
        <f>TRIM(C4)</f>
        <v>Meena Raut</v>
      </c>
      <c r="E4" s="60" t="s">
        <v>678</v>
      </c>
    </row>
    <row r="5" spans="1:8" s="60" customFormat="1">
      <c r="A5" s="60">
        <v>31982</v>
      </c>
      <c r="B5" s="72" t="s">
        <v>153</v>
      </c>
      <c r="C5" s="60" t="str">
        <f t="shared" ref="C5:C8" si="0">PROPER(B5)</f>
        <v xml:space="preserve">      Jay  Naik</v>
      </c>
      <c r="D5" s="60" t="str">
        <f t="shared" ref="D5:D8" si="1">TRIM(C5)</f>
        <v>Jay Naik</v>
      </c>
      <c r="E5" s="60" t="str">
        <f>TRIM(PROPER(B5))</f>
        <v>Jay Naik</v>
      </c>
    </row>
    <row r="6" spans="1:8" s="60" customFormat="1">
      <c r="A6" s="60">
        <v>21908</v>
      </c>
      <c r="B6" s="72" t="s">
        <v>154</v>
      </c>
      <c r="C6" s="60" t="str">
        <f t="shared" si="0"/>
        <v xml:space="preserve"> Satish  Desai</v>
      </c>
      <c r="D6" s="60" t="str">
        <f t="shared" si="1"/>
        <v>Satish Desai</v>
      </c>
      <c r="E6" s="60" t="str">
        <f t="shared" ref="E6:E8" si="2">TRIM(PROPER(B6))</f>
        <v>Satish Desai</v>
      </c>
    </row>
    <row r="7" spans="1:8" s="60" customFormat="1">
      <c r="A7" s="60">
        <v>31269</v>
      </c>
      <c r="B7" s="72" t="s">
        <v>155</v>
      </c>
      <c r="C7" s="60" t="str">
        <f t="shared" si="0"/>
        <v>Teena     Pinto</v>
      </c>
      <c r="D7" s="60" t="str">
        <f t="shared" si="1"/>
        <v>Teena Pinto</v>
      </c>
      <c r="E7" s="60" t="str">
        <f t="shared" si="2"/>
        <v>Teena Pinto</v>
      </c>
    </row>
    <row r="8" spans="1:8" s="60" customFormat="1">
      <c r="A8" s="60">
        <v>45980</v>
      </c>
      <c r="B8" s="72" t="s">
        <v>156</v>
      </c>
      <c r="C8" s="60" t="str">
        <f t="shared" si="0"/>
        <v>Odellia  Ribello</v>
      </c>
      <c r="D8" s="60" t="str">
        <f t="shared" si="1"/>
        <v>Odellia Ribello</v>
      </c>
      <c r="E8" s="60" t="str">
        <f t="shared" si="2"/>
        <v>Odellia Ribello</v>
      </c>
    </row>
    <row r="11" spans="1:8">
      <c r="C11" s="73" t="s">
        <v>102</v>
      </c>
      <c r="D11" s="60">
        <v>20167</v>
      </c>
      <c r="E11" s="60">
        <v>31982</v>
      </c>
      <c r="F11" s="60">
        <v>21908</v>
      </c>
      <c r="G11" s="60">
        <v>31269</v>
      </c>
      <c r="H11" s="60">
        <v>45980</v>
      </c>
    </row>
    <row r="12" spans="1:8">
      <c r="C12" s="74" t="s">
        <v>13</v>
      </c>
      <c r="D12" s="72" t="s">
        <v>152</v>
      </c>
      <c r="E12" s="72" t="s">
        <v>153</v>
      </c>
      <c r="F12" s="72" t="s">
        <v>154</v>
      </c>
      <c r="G12" s="72" t="s">
        <v>155</v>
      </c>
      <c r="H12" s="72" t="s">
        <v>156</v>
      </c>
    </row>
    <row r="13" spans="1:8">
      <c r="C13" s="75" t="s">
        <v>150</v>
      </c>
      <c r="D13" s="60" t="str">
        <f>PROPER(D12)</f>
        <v>Meena      Raut</v>
      </c>
      <c r="E13" s="60" t="str">
        <f>PROPER(E12)</f>
        <v xml:space="preserve">      Jay  Naik</v>
      </c>
      <c r="F13" s="60" t="str">
        <f>PROPER(F12)</f>
        <v xml:space="preserve"> Satish  Desai</v>
      </c>
      <c r="G13" s="60" t="str">
        <f>PROPER(G12)</f>
        <v>Teena     Pinto</v>
      </c>
      <c r="H13" s="60" t="str">
        <f>PROPER(H12)</f>
        <v>Odellia  Ribello</v>
      </c>
    </row>
    <row r="14" spans="1:8">
      <c r="C14" s="75" t="s">
        <v>151</v>
      </c>
      <c r="D14" s="60" t="str">
        <f>TRIM(D13)</f>
        <v>Meena Raut</v>
      </c>
      <c r="E14" s="60" t="str">
        <f>TRIM(E13)</f>
        <v>Jay Naik</v>
      </c>
      <c r="F14" s="60" t="str">
        <f>TRIM(F13)</f>
        <v>Satish Desai</v>
      </c>
      <c r="G14" s="60" t="str">
        <f>TRIM(G13)</f>
        <v>Teena Pinto</v>
      </c>
      <c r="H14" s="60" t="str">
        <f>TRIM(H13)</f>
        <v>Odellia Ribello</v>
      </c>
    </row>
    <row r="15" spans="1:8">
      <c r="C15" s="60"/>
      <c r="D15" s="60" t="str">
        <f>TRIM(PROPER(D12))</f>
        <v>Meena Raut</v>
      </c>
      <c r="E15" s="60" t="str">
        <f>TRIM(PROPER(E12))</f>
        <v>Jay Naik</v>
      </c>
      <c r="F15" s="60" t="str">
        <f>TRIM(PROPER(F12))</f>
        <v>Satish Desai</v>
      </c>
      <c r="G15" s="60" t="str">
        <f>TRIM(PROPER(G12))</f>
        <v>Teena Pinto</v>
      </c>
      <c r="H15" s="60" t="str">
        <f>TRIM(PROPER(H12))</f>
        <v>Odellia Ribello</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6736C-68C9-45E8-9B79-F9EEFF0E36F8}">
  <sheetPr>
    <tabColor theme="9" tint="0.39997558519241921"/>
  </sheetPr>
  <dimension ref="A1:GR200"/>
  <sheetViews>
    <sheetView workbookViewId="0"/>
  </sheetViews>
  <sheetFormatPr defaultRowHeight="14.5"/>
  <sheetData>
    <row r="1" spans="1:1" s="60" customFormat="1" ht="17">
      <c r="A1" s="77" t="s">
        <v>157</v>
      </c>
    </row>
    <row r="2" spans="1:1" s="60" customFormat="1"/>
    <row r="3" spans="1:1" s="60" customFormat="1" ht="17">
      <c r="A3" s="59" t="s">
        <v>158</v>
      </c>
    </row>
    <row r="4" spans="1:1" s="60" customFormat="1">
      <c r="A4" s="60" t="s">
        <v>159</v>
      </c>
    </row>
    <row r="5" spans="1:1" s="60" customFormat="1">
      <c r="A5" s="60" t="s">
        <v>160</v>
      </c>
    </row>
    <row r="6" spans="1:1" s="60" customFormat="1">
      <c r="A6" s="60" t="s">
        <v>161</v>
      </c>
    </row>
    <row r="7" spans="1:1" s="60" customFormat="1"/>
    <row r="8" spans="1:1" s="60" customFormat="1" ht="17">
      <c r="A8" s="59" t="s">
        <v>162</v>
      </c>
    </row>
    <row r="9" spans="1:1" s="60" customFormat="1">
      <c r="A9" s="60" t="s">
        <v>163</v>
      </c>
    </row>
    <row r="10" spans="1:1" s="60" customFormat="1">
      <c r="A10" s="60" t="s">
        <v>164</v>
      </c>
    </row>
    <row r="11" spans="1:1" s="60" customFormat="1"/>
    <row r="12" spans="1:1" s="60" customFormat="1" ht="17">
      <c r="A12" s="59" t="s">
        <v>165</v>
      </c>
    </row>
    <row r="13" spans="1:1" s="60" customFormat="1">
      <c r="A13" s="60" t="s">
        <v>166</v>
      </c>
    </row>
    <row r="99" spans="28:28">
      <c r="AB99" t="s">
        <v>167</v>
      </c>
    </row>
    <row r="200" spans="200:200">
      <c r="GR200" t="s">
        <v>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D878-D2FE-40DB-AEEF-0E9EFB571647}">
  <dimension ref="A1:N45"/>
  <sheetViews>
    <sheetView zoomScaleNormal="100" workbookViewId="0"/>
  </sheetViews>
  <sheetFormatPr defaultColWidth="8.7265625" defaultRowHeight="14.5"/>
  <cols>
    <col min="1" max="1" width="5.1796875" style="3" bestFit="1" customWidth="1"/>
    <col min="2" max="2" width="23.81640625" style="3" bestFit="1" customWidth="1"/>
    <col min="3" max="3" width="29.81640625" style="3" bestFit="1" customWidth="1"/>
    <col min="4" max="4" width="12.81640625" style="3" customWidth="1"/>
    <col min="5" max="5" width="11" style="3" customWidth="1"/>
    <col min="6" max="6" width="20" style="3" customWidth="1"/>
    <col min="7" max="7" width="11.54296875" style="17" customWidth="1"/>
    <col min="8" max="8" width="10.453125" style="3" customWidth="1"/>
    <col min="9" max="9" width="7.54296875" style="3" customWidth="1"/>
    <col min="10" max="10" width="5.453125" style="3" bestFit="1" customWidth="1"/>
    <col min="11" max="14" width="15.1796875" style="3" customWidth="1"/>
    <col min="15" max="16384" width="8.7265625" style="3"/>
  </cols>
  <sheetData>
    <row r="1" spans="1:14" ht="27.75" customHeight="1">
      <c r="A1" s="1" t="s">
        <v>169</v>
      </c>
      <c r="B1" s="1" t="s">
        <v>3</v>
      </c>
      <c r="C1" s="1" t="s">
        <v>170</v>
      </c>
      <c r="D1" s="1" t="s">
        <v>171</v>
      </c>
      <c r="E1" s="1" t="s">
        <v>172</v>
      </c>
      <c r="F1" s="1" t="s">
        <v>173</v>
      </c>
      <c r="G1" s="2" t="s">
        <v>174</v>
      </c>
      <c r="H1" s="1" t="s">
        <v>175</v>
      </c>
      <c r="I1" s="1" t="s">
        <v>176</v>
      </c>
      <c r="J1" s="1" t="s">
        <v>177</v>
      </c>
      <c r="K1" s="264" t="s">
        <v>178</v>
      </c>
      <c r="L1" s="264" t="s">
        <v>179</v>
      </c>
      <c r="M1" s="264" t="s">
        <v>180</v>
      </c>
      <c r="N1" s="264" t="s">
        <v>181</v>
      </c>
    </row>
    <row r="2" spans="1:14">
      <c r="A2" s="3">
        <v>1</v>
      </c>
      <c r="B2" s="4" t="s">
        <v>182</v>
      </c>
      <c r="C2" s="4" t="s">
        <v>183</v>
      </c>
      <c r="D2" s="4" t="s">
        <v>184</v>
      </c>
      <c r="E2" s="4" t="s">
        <v>185</v>
      </c>
      <c r="F2" s="4" t="s">
        <v>186</v>
      </c>
      <c r="G2" s="5">
        <v>44131</v>
      </c>
      <c r="H2" s="6" t="s">
        <v>187</v>
      </c>
      <c r="I2" s="6" t="s">
        <v>188</v>
      </c>
      <c r="J2" s="6">
        <v>4</v>
      </c>
      <c r="K2" s="7">
        <v>3552880</v>
      </c>
      <c r="L2" s="7">
        <v>3601934</v>
      </c>
      <c r="M2" s="7">
        <v>5124873</v>
      </c>
      <c r="N2" s="7">
        <v>2117952</v>
      </c>
    </row>
    <row r="3" spans="1:14">
      <c r="A3" s="3">
        <v>2</v>
      </c>
      <c r="B3" s="4" t="s">
        <v>189</v>
      </c>
      <c r="C3" s="4" t="s">
        <v>190</v>
      </c>
      <c r="D3" s="4" t="s">
        <v>184</v>
      </c>
      <c r="E3" s="4" t="s">
        <v>185</v>
      </c>
      <c r="F3" s="4" t="s">
        <v>191</v>
      </c>
      <c r="G3" s="5">
        <v>44131</v>
      </c>
      <c r="H3" s="6" t="s">
        <v>187</v>
      </c>
      <c r="I3" s="6" t="s">
        <v>188</v>
      </c>
      <c r="J3" s="6">
        <v>5</v>
      </c>
      <c r="K3" s="7">
        <v>8325927</v>
      </c>
      <c r="L3" s="7">
        <v>7895295</v>
      </c>
      <c r="M3" s="7">
        <v>2192370</v>
      </c>
      <c r="N3" s="7">
        <v>1205448</v>
      </c>
    </row>
    <row r="4" spans="1:14">
      <c r="A4" s="3">
        <v>3</v>
      </c>
      <c r="B4" s="8" t="s">
        <v>192</v>
      </c>
      <c r="C4" s="4" t="s">
        <v>193</v>
      </c>
      <c r="D4" s="9" t="s">
        <v>194</v>
      </c>
      <c r="E4" s="4" t="s">
        <v>195</v>
      </c>
      <c r="F4" s="4" t="s">
        <v>191</v>
      </c>
      <c r="G4" s="5">
        <v>44131</v>
      </c>
      <c r="H4" s="6" t="s">
        <v>187</v>
      </c>
      <c r="I4" s="6" t="s">
        <v>188</v>
      </c>
      <c r="J4" s="6">
        <v>4</v>
      </c>
      <c r="K4" s="7">
        <v>9214741</v>
      </c>
      <c r="L4" s="7">
        <v>7136110</v>
      </c>
      <c r="M4" s="7">
        <v>2051125</v>
      </c>
      <c r="N4" s="7">
        <v>6827018</v>
      </c>
    </row>
    <row r="5" spans="1:14">
      <c r="A5" s="3">
        <v>4</v>
      </c>
      <c r="B5" s="8" t="s">
        <v>192</v>
      </c>
      <c r="C5" s="4" t="s">
        <v>16</v>
      </c>
      <c r="D5" s="9" t="s">
        <v>196</v>
      </c>
      <c r="E5" s="4" t="s">
        <v>197</v>
      </c>
      <c r="F5" s="4" t="s">
        <v>191</v>
      </c>
      <c r="G5" s="5">
        <v>44131</v>
      </c>
      <c r="H5" s="6" t="s">
        <v>198</v>
      </c>
      <c r="I5" s="6" t="s">
        <v>188</v>
      </c>
      <c r="J5" s="6">
        <v>5</v>
      </c>
      <c r="K5" s="7">
        <v>2597601</v>
      </c>
      <c r="L5" s="7">
        <v>7208778</v>
      </c>
      <c r="M5" s="7">
        <v>1455489</v>
      </c>
      <c r="N5" s="7">
        <v>7185260</v>
      </c>
    </row>
    <row r="6" spans="1:14">
      <c r="A6" s="3">
        <v>5</v>
      </c>
      <c r="B6" s="4" t="s">
        <v>199</v>
      </c>
      <c r="C6" s="4" t="s">
        <v>200</v>
      </c>
      <c r="D6" s="9" t="s">
        <v>196</v>
      </c>
      <c r="E6" s="4" t="s">
        <v>197</v>
      </c>
      <c r="F6" s="4" t="s">
        <v>201</v>
      </c>
      <c r="G6" s="5">
        <v>44131</v>
      </c>
      <c r="H6" s="6" t="s">
        <v>202</v>
      </c>
      <c r="I6" s="6" t="s">
        <v>188</v>
      </c>
      <c r="J6" s="6">
        <v>4</v>
      </c>
      <c r="K6" s="7">
        <v>6332111</v>
      </c>
      <c r="L6" s="7">
        <v>5644948</v>
      </c>
      <c r="M6" s="7">
        <v>9060794</v>
      </c>
      <c r="N6" s="7">
        <v>9183080</v>
      </c>
    </row>
    <row r="7" spans="1:14">
      <c r="A7" s="3">
        <v>6</v>
      </c>
      <c r="B7" s="4" t="s">
        <v>199</v>
      </c>
      <c r="C7" s="4" t="s">
        <v>203</v>
      </c>
      <c r="D7" s="9" t="s">
        <v>196</v>
      </c>
      <c r="E7" s="4" t="s">
        <v>195</v>
      </c>
      <c r="F7" s="9" t="s">
        <v>191</v>
      </c>
      <c r="G7" s="10">
        <v>43696</v>
      </c>
      <c r="H7" s="11" t="s">
        <v>187</v>
      </c>
      <c r="I7" s="6" t="s">
        <v>188</v>
      </c>
      <c r="J7" s="11">
        <v>5</v>
      </c>
      <c r="K7" s="7">
        <v>6621195</v>
      </c>
      <c r="L7" s="7">
        <v>5507650</v>
      </c>
      <c r="M7" s="7">
        <v>439008</v>
      </c>
      <c r="N7" s="7">
        <v>8976888</v>
      </c>
    </row>
    <row r="8" spans="1:14">
      <c r="A8" s="3">
        <v>7</v>
      </c>
      <c r="B8" s="4" t="s">
        <v>199</v>
      </c>
      <c r="C8" s="4" t="s">
        <v>204</v>
      </c>
      <c r="D8" s="9" t="s">
        <v>196</v>
      </c>
      <c r="E8" s="4" t="s">
        <v>197</v>
      </c>
      <c r="F8" s="9" t="s">
        <v>191</v>
      </c>
      <c r="G8" s="10">
        <v>44740</v>
      </c>
      <c r="H8" s="11" t="s">
        <v>187</v>
      </c>
      <c r="I8" s="6" t="s">
        <v>188</v>
      </c>
      <c r="J8" s="11">
        <v>4</v>
      </c>
      <c r="K8" s="7">
        <v>5703056</v>
      </c>
      <c r="L8" s="7">
        <v>3175729</v>
      </c>
      <c r="M8" s="7">
        <v>9526255</v>
      </c>
      <c r="N8" s="7">
        <v>69283</v>
      </c>
    </row>
    <row r="9" spans="1:14">
      <c r="A9" s="3">
        <v>8</v>
      </c>
      <c r="B9" s="4" t="s">
        <v>205</v>
      </c>
      <c r="C9" s="4" t="s">
        <v>206</v>
      </c>
      <c r="D9" s="12" t="s">
        <v>196</v>
      </c>
      <c r="E9" s="4" t="s">
        <v>197</v>
      </c>
      <c r="F9" s="9" t="s">
        <v>191</v>
      </c>
      <c r="G9" s="4" t="s">
        <v>207</v>
      </c>
      <c r="H9" s="11" t="s">
        <v>208</v>
      </c>
      <c r="I9" s="6" t="s">
        <v>188</v>
      </c>
      <c r="J9" s="11">
        <v>5</v>
      </c>
      <c r="K9" s="7">
        <v>5291782</v>
      </c>
      <c r="L9" s="7">
        <v>8160220</v>
      </c>
      <c r="M9" s="7">
        <v>6000560</v>
      </c>
      <c r="N9" s="7">
        <v>8411898</v>
      </c>
    </row>
    <row r="10" spans="1:14">
      <c r="A10" s="3">
        <v>9</v>
      </c>
      <c r="B10" s="4" t="s">
        <v>205</v>
      </c>
      <c r="C10" s="4" t="s">
        <v>209</v>
      </c>
      <c r="D10" s="9" t="s">
        <v>196</v>
      </c>
      <c r="E10" s="4" t="s">
        <v>185</v>
      </c>
      <c r="F10" s="9" t="s">
        <v>191</v>
      </c>
      <c r="G10" s="10">
        <v>44740</v>
      </c>
      <c r="H10" s="11" t="s">
        <v>187</v>
      </c>
      <c r="I10" s="6" t="s">
        <v>188</v>
      </c>
      <c r="J10" s="11">
        <v>3</v>
      </c>
      <c r="K10" s="7">
        <v>6576946</v>
      </c>
      <c r="L10" s="7">
        <v>8011858</v>
      </c>
      <c r="M10" s="7">
        <v>9540741</v>
      </c>
      <c r="N10" s="7">
        <v>3475710</v>
      </c>
    </row>
    <row r="11" spans="1:14">
      <c r="A11" s="3">
        <v>10</v>
      </c>
      <c r="B11" s="4" t="s">
        <v>210</v>
      </c>
      <c r="C11" s="4" t="s">
        <v>16</v>
      </c>
      <c r="D11" s="9" t="s">
        <v>196</v>
      </c>
      <c r="E11" s="4" t="s">
        <v>211</v>
      </c>
      <c r="F11" s="9" t="s">
        <v>191</v>
      </c>
      <c r="G11" s="10">
        <v>46932</v>
      </c>
      <c r="H11" s="11" t="s">
        <v>187</v>
      </c>
      <c r="I11" s="6" t="s">
        <v>188</v>
      </c>
      <c r="J11" s="11">
        <v>1</v>
      </c>
      <c r="K11" s="7">
        <v>0</v>
      </c>
      <c r="L11" s="7">
        <v>0</v>
      </c>
      <c r="M11" s="7">
        <v>0</v>
      </c>
      <c r="N11" s="7">
        <v>0</v>
      </c>
    </row>
    <row r="12" spans="1:14">
      <c r="A12" s="3">
        <v>11</v>
      </c>
      <c r="B12" s="4" t="s">
        <v>212</v>
      </c>
      <c r="C12" s="4" t="s">
        <v>16</v>
      </c>
      <c r="D12" s="9" t="s">
        <v>196</v>
      </c>
      <c r="E12" s="4" t="s">
        <v>211</v>
      </c>
      <c r="F12" s="9" t="s">
        <v>201</v>
      </c>
      <c r="G12" s="5">
        <v>44131</v>
      </c>
      <c r="H12" s="11" t="s">
        <v>187</v>
      </c>
      <c r="I12" s="6" t="s">
        <v>188</v>
      </c>
      <c r="J12" s="11">
        <v>4</v>
      </c>
      <c r="K12" s="7">
        <v>9871138</v>
      </c>
      <c r="L12" s="7">
        <v>4966333</v>
      </c>
      <c r="M12" s="7">
        <v>9563695</v>
      </c>
      <c r="N12" s="7">
        <v>9503875</v>
      </c>
    </row>
    <row r="13" spans="1:14">
      <c r="A13" s="3">
        <v>12</v>
      </c>
      <c r="B13" s="4" t="s">
        <v>212</v>
      </c>
      <c r="C13" s="4" t="s">
        <v>193</v>
      </c>
      <c r="D13" s="9" t="s">
        <v>194</v>
      </c>
      <c r="E13" s="4" t="s">
        <v>211</v>
      </c>
      <c r="F13" s="9" t="s">
        <v>191</v>
      </c>
      <c r="G13" s="10">
        <v>44131</v>
      </c>
      <c r="H13" s="11" t="s">
        <v>187</v>
      </c>
      <c r="I13" s="6" t="s">
        <v>188</v>
      </c>
      <c r="J13" s="11">
        <v>5</v>
      </c>
      <c r="K13" s="7">
        <v>8556670</v>
      </c>
      <c r="L13" s="7">
        <v>463919</v>
      </c>
      <c r="M13" s="7">
        <v>5219177</v>
      </c>
      <c r="N13" s="7">
        <v>2679654</v>
      </c>
    </row>
    <row r="14" spans="1:14">
      <c r="A14" s="3">
        <v>13</v>
      </c>
      <c r="B14" s="4" t="s">
        <v>210</v>
      </c>
      <c r="C14" s="4" t="s">
        <v>193</v>
      </c>
      <c r="D14" s="9" t="s">
        <v>196</v>
      </c>
      <c r="E14" s="4" t="s">
        <v>211</v>
      </c>
      <c r="F14" s="9" t="s">
        <v>191</v>
      </c>
      <c r="G14" s="5">
        <v>44131</v>
      </c>
      <c r="H14" s="11" t="s">
        <v>187</v>
      </c>
      <c r="I14" s="6" t="s">
        <v>188</v>
      </c>
      <c r="J14" s="11">
        <v>4</v>
      </c>
      <c r="K14" s="7">
        <v>1870409</v>
      </c>
      <c r="L14" s="7">
        <v>5939395</v>
      </c>
      <c r="M14" s="7">
        <v>8468632</v>
      </c>
      <c r="N14" s="7">
        <v>5825991</v>
      </c>
    </row>
    <row r="15" spans="1:14">
      <c r="A15" s="3">
        <v>14</v>
      </c>
      <c r="B15" s="4" t="s">
        <v>213</v>
      </c>
      <c r="C15" s="4" t="s">
        <v>214</v>
      </c>
      <c r="D15" s="9" t="s">
        <v>196</v>
      </c>
      <c r="E15" s="4" t="s">
        <v>197</v>
      </c>
      <c r="F15" s="9" t="s">
        <v>201</v>
      </c>
      <c r="G15" s="5">
        <v>44131</v>
      </c>
      <c r="H15" s="9" t="s">
        <v>208</v>
      </c>
      <c r="I15" s="6" t="s">
        <v>188</v>
      </c>
      <c r="J15" s="9">
        <v>5</v>
      </c>
      <c r="K15" s="7">
        <v>5157248</v>
      </c>
      <c r="L15" s="7">
        <v>3504283</v>
      </c>
      <c r="M15" s="7">
        <v>7960332</v>
      </c>
      <c r="N15" s="7">
        <v>8875451</v>
      </c>
    </row>
    <row r="16" spans="1:14">
      <c r="A16" s="3">
        <v>15</v>
      </c>
      <c r="B16" s="4" t="s">
        <v>215</v>
      </c>
      <c r="C16" s="4" t="s">
        <v>193</v>
      </c>
      <c r="D16" s="9" t="s">
        <v>196</v>
      </c>
      <c r="E16" s="4" t="s">
        <v>197</v>
      </c>
      <c r="F16" s="9" t="s">
        <v>191</v>
      </c>
      <c r="G16" s="5">
        <v>46687</v>
      </c>
      <c r="H16" s="9" t="s">
        <v>201</v>
      </c>
      <c r="I16" s="6" t="s">
        <v>188</v>
      </c>
      <c r="J16" s="9">
        <v>1</v>
      </c>
      <c r="K16" s="7"/>
      <c r="L16" s="7"/>
      <c r="M16" s="7"/>
      <c r="N16" s="7"/>
    </row>
    <row r="17" spans="1:14">
      <c r="A17" s="3">
        <v>16</v>
      </c>
      <c r="B17" s="4" t="s">
        <v>216</v>
      </c>
      <c r="C17" s="4" t="s">
        <v>214</v>
      </c>
      <c r="D17" s="9" t="s">
        <v>196</v>
      </c>
      <c r="E17" s="4" t="s">
        <v>197</v>
      </c>
      <c r="F17" s="9" t="s">
        <v>191</v>
      </c>
      <c r="G17" s="5">
        <v>44131</v>
      </c>
      <c r="H17" s="9" t="s">
        <v>201</v>
      </c>
      <c r="I17" s="6" t="s">
        <v>188</v>
      </c>
      <c r="J17" s="9">
        <v>4</v>
      </c>
      <c r="K17" s="7">
        <v>2572201</v>
      </c>
      <c r="L17" s="7">
        <v>7927421</v>
      </c>
      <c r="M17" s="7">
        <v>398718</v>
      </c>
      <c r="N17" s="7">
        <v>4738825</v>
      </c>
    </row>
    <row r="18" spans="1:14">
      <c r="A18" s="3">
        <v>17</v>
      </c>
      <c r="B18" s="4" t="s">
        <v>216</v>
      </c>
      <c r="C18" s="4" t="s">
        <v>217</v>
      </c>
      <c r="D18" s="9" t="s">
        <v>196</v>
      </c>
      <c r="E18" s="4" t="s">
        <v>197</v>
      </c>
      <c r="F18" s="9" t="s">
        <v>191</v>
      </c>
      <c r="G18" s="5">
        <v>44131</v>
      </c>
      <c r="H18" s="9" t="s">
        <v>201</v>
      </c>
      <c r="I18" s="6" t="s">
        <v>188</v>
      </c>
      <c r="J18" s="9">
        <v>5</v>
      </c>
      <c r="K18" s="7">
        <v>6044115</v>
      </c>
      <c r="L18" s="7">
        <v>5923239</v>
      </c>
      <c r="M18" s="7">
        <v>2542618</v>
      </c>
      <c r="N18" s="7">
        <v>5638565</v>
      </c>
    </row>
    <row r="19" spans="1:14">
      <c r="A19" s="3">
        <v>18</v>
      </c>
      <c r="B19" s="4" t="s">
        <v>218</v>
      </c>
      <c r="C19" s="4" t="s">
        <v>16</v>
      </c>
      <c r="D19" s="9" t="s">
        <v>196</v>
      </c>
      <c r="E19" s="4" t="s">
        <v>197</v>
      </c>
      <c r="F19" s="9" t="s">
        <v>191</v>
      </c>
      <c r="G19" s="5">
        <v>44131</v>
      </c>
      <c r="H19" s="9" t="s">
        <v>201</v>
      </c>
      <c r="I19" s="6" t="s">
        <v>188</v>
      </c>
      <c r="J19" s="9">
        <v>4</v>
      </c>
      <c r="K19" s="7">
        <v>4733191</v>
      </c>
      <c r="L19" s="7">
        <v>5742703</v>
      </c>
      <c r="M19" s="7">
        <v>7639842</v>
      </c>
      <c r="N19" s="7">
        <v>379507</v>
      </c>
    </row>
    <row r="20" spans="1:14">
      <c r="A20" s="3">
        <v>19</v>
      </c>
      <c r="B20" s="4" t="s">
        <v>218</v>
      </c>
      <c r="C20" s="4" t="s">
        <v>204</v>
      </c>
      <c r="D20" s="9" t="s">
        <v>196</v>
      </c>
      <c r="E20" s="4" t="s">
        <v>197</v>
      </c>
      <c r="F20" s="9" t="s">
        <v>191</v>
      </c>
      <c r="G20" s="13">
        <v>45100</v>
      </c>
      <c r="H20" s="11" t="s">
        <v>187</v>
      </c>
      <c r="I20" s="6" t="s">
        <v>188</v>
      </c>
      <c r="J20" s="11">
        <v>5</v>
      </c>
      <c r="K20" s="7">
        <v>9596607</v>
      </c>
      <c r="L20" s="7">
        <v>8415127</v>
      </c>
      <c r="M20" s="7">
        <v>1842911</v>
      </c>
      <c r="N20" s="7">
        <v>6697745</v>
      </c>
    </row>
    <row r="21" spans="1:14">
      <c r="A21" s="3">
        <v>20</v>
      </c>
      <c r="B21" s="4" t="s">
        <v>219</v>
      </c>
      <c r="C21" s="4" t="s">
        <v>220</v>
      </c>
      <c r="D21" s="9" t="s">
        <v>196</v>
      </c>
      <c r="E21" s="4" t="s">
        <v>197</v>
      </c>
      <c r="F21" s="9" t="s">
        <v>191</v>
      </c>
      <c r="G21" s="13">
        <v>47354</v>
      </c>
      <c r="H21" s="11" t="s">
        <v>187</v>
      </c>
      <c r="I21" s="6" t="s">
        <v>188</v>
      </c>
      <c r="J21" s="11">
        <v>4</v>
      </c>
      <c r="K21" s="7">
        <v>9594351</v>
      </c>
      <c r="L21" s="7">
        <v>8486823</v>
      </c>
      <c r="M21" s="7">
        <v>9622595</v>
      </c>
      <c r="N21" s="7">
        <v>5246735</v>
      </c>
    </row>
    <row r="22" spans="1:14">
      <c r="A22" s="3">
        <v>21</v>
      </c>
      <c r="B22" s="4" t="s">
        <v>219</v>
      </c>
      <c r="C22" s="4" t="s">
        <v>221</v>
      </c>
      <c r="D22" s="9" t="s">
        <v>196</v>
      </c>
      <c r="E22" s="4" t="s">
        <v>197</v>
      </c>
      <c r="F22" s="9" t="s">
        <v>191</v>
      </c>
      <c r="G22" s="14">
        <v>45881</v>
      </c>
      <c r="H22" s="11" t="s">
        <v>187</v>
      </c>
      <c r="I22" s="6" t="s">
        <v>188</v>
      </c>
      <c r="J22" s="11">
        <v>4</v>
      </c>
      <c r="K22" s="7">
        <v>7016187</v>
      </c>
      <c r="L22" s="7">
        <v>3190663</v>
      </c>
      <c r="M22" s="7">
        <v>1816700</v>
      </c>
      <c r="N22" s="7">
        <v>9315215</v>
      </c>
    </row>
    <row r="23" spans="1:14">
      <c r="A23" s="3">
        <v>22</v>
      </c>
      <c r="B23" s="4" t="s">
        <v>222</v>
      </c>
      <c r="C23" s="4" t="s">
        <v>223</v>
      </c>
      <c r="D23" s="9" t="s">
        <v>196</v>
      </c>
      <c r="E23" s="4" t="s">
        <v>195</v>
      </c>
      <c r="F23" s="9" t="s">
        <v>191</v>
      </c>
      <c r="G23" s="15">
        <v>44825</v>
      </c>
      <c r="H23" s="11" t="s">
        <v>187</v>
      </c>
      <c r="I23" s="6" t="s">
        <v>188</v>
      </c>
      <c r="J23" s="11">
        <v>5</v>
      </c>
      <c r="K23" s="7">
        <v>9139289</v>
      </c>
      <c r="L23" s="7">
        <v>7196632</v>
      </c>
      <c r="M23" s="7">
        <v>7182546</v>
      </c>
      <c r="N23" s="7">
        <v>582009</v>
      </c>
    </row>
    <row r="24" spans="1:14">
      <c r="A24" s="3">
        <v>23</v>
      </c>
      <c r="B24" s="4" t="s">
        <v>222</v>
      </c>
      <c r="C24" s="4" t="s">
        <v>224</v>
      </c>
      <c r="D24" s="9" t="s">
        <v>196</v>
      </c>
      <c r="E24" s="4" t="s">
        <v>195</v>
      </c>
      <c r="F24" s="9" t="s">
        <v>191</v>
      </c>
      <c r="G24" s="15">
        <v>44825</v>
      </c>
      <c r="H24" s="11" t="s">
        <v>187</v>
      </c>
      <c r="I24" s="6" t="s">
        <v>188</v>
      </c>
      <c r="J24" s="11">
        <v>4</v>
      </c>
      <c r="K24" s="7">
        <v>9070553</v>
      </c>
      <c r="L24" s="7">
        <v>1424660</v>
      </c>
      <c r="M24" s="7">
        <v>3475906</v>
      </c>
      <c r="N24" s="7">
        <v>4877859</v>
      </c>
    </row>
    <row r="25" spans="1:14">
      <c r="A25" s="3">
        <v>24</v>
      </c>
      <c r="B25" s="4" t="s">
        <v>222</v>
      </c>
      <c r="C25" s="4" t="s">
        <v>225</v>
      </c>
      <c r="D25" s="9" t="s">
        <v>196</v>
      </c>
      <c r="E25" s="4" t="s">
        <v>195</v>
      </c>
      <c r="F25" s="9" t="s">
        <v>201</v>
      </c>
      <c r="G25" s="15">
        <v>44825</v>
      </c>
      <c r="H25" s="9" t="s">
        <v>198</v>
      </c>
      <c r="I25" s="6" t="s">
        <v>188</v>
      </c>
      <c r="J25" s="9">
        <v>5</v>
      </c>
      <c r="K25" s="7">
        <v>9273217</v>
      </c>
      <c r="L25" s="7">
        <v>9616033</v>
      </c>
      <c r="M25" s="7">
        <v>2761923</v>
      </c>
      <c r="N25" s="7">
        <v>8667644</v>
      </c>
    </row>
    <row r="26" spans="1:14">
      <c r="A26" s="3">
        <v>25</v>
      </c>
      <c r="B26" s="4" t="s">
        <v>226</v>
      </c>
      <c r="C26" s="4" t="s">
        <v>227</v>
      </c>
      <c r="D26" s="4" t="s">
        <v>228</v>
      </c>
      <c r="E26" s="4" t="s">
        <v>195</v>
      </c>
      <c r="F26" s="9" t="s">
        <v>201</v>
      </c>
      <c r="G26" s="15">
        <v>36805</v>
      </c>
      <c r="H26" s="11" t="s">
        <v>187</v>
      </c>
      <c r="I26" s="6" t="s">
        <v>188</v>
      </c>
      <c r="J26" s="11">
        <v>4</v>
      </c>
      <c r="K26" s="7">
        <v>4429953</v>
      </c>
      <c r="L26" s="7">
        <v>7789239</v>
      </c>
      <c r="M26" s="7">
        <v>9158864</v>
      </c>
      <c r="N26" s="7">
        <v>4074846</v>
      </c>
    </row>
    <row r="27" spans="1:14">
      <c r="A27" s="3">
        <v>26</v>
      </c>
      <c r="B27" s="4" t="s">
        <v>229</v>
      </c>
      <c r="C27" s="4" t="s">
        <v>230</v>
      </c>
      <c r="D27" s="4" t="s">
        <v>228</v>
      </c>
      <c r="E27" s="4" t="s">
        <v>197</v>
      </c>
      <c r="F27" s="9" t="s">
        <v>191</v>
      </c>
      <c r="G27" s="15">
        <v>36805</v>
      </c>
      <c r="H27" s="9" t="s">
        <v>231</v>
      </c>
      <c r="I27" s="6" t="s">
        <v>188</v>
      </c>
      <c r="J27" s="9">
        <v>1</v>
      </c>
      <c r="K27" s="7"/>
      <c r="L27" s="7"/>
      <c r="M27" s="7"/>
      <c r="N27" s="7"/>
    </row>
    <row r="28" spans="1:14">
      <c r="A28" s="3">
        <v>27</v>
      </c>
      <c r="B28" s="16" t="s">
        <v>232</v>
      </c>
      <c r="C28" s="4" t="s">
        <v>204</v>
      </c>
      <c r="D28" s="9" t="s">
        <v>196</v>
      </c>
      <c r="E28" s="4" t="s">
        <v>197</v>
      </c>
      <c r="F28" s="9" t="s">
        <v>191</v>
      </c>
      <c r="G28" s="15">
        <v>36805</v>
      </c>
      <c r="H28" s="9" t="s">
        <v>231</v>
      </c>
      <c r="I28" s="6" t="s">
        <v>188</v>
      </c>
      <c r="J28" s="9">
        <v>1</v>
      </c>
      <c r="K28" s="7"/>
      <c r="L28" s="7"/>
      <c r="M28" s="7"/>
      <c r="N28" s="7"/>
    </row>
    <row r="29" spans="1:14">
      <c r="A29" s="3">
        <v>28</v>
      </c>
      <c r="B29" s="16" t="s">
        <v>233</v>
      </c>
      <c r="C29" s="4" t="s">
        <v>18</v>
      </c>
      <c r="D29" s="9"/>
      <c r="E29" s="4"/>
      <c r="F29" s="9" t="s">
        <v>191</v>
      </c>
      <c r="G29" s="10">
        <v>44426</v>
      </c>
      <c r="H29" s="9" t="s">
        <v>231</v>
      </c>
      <c r="I29" s="6" t="s">
        <v>188</v>
      </c>
      <c r="J29" s="9">
        <v>5</v>
      </c>
      <c r="K29" s="7">
        <v>1910259</v>
      </c>
      <c r="L29" s="7">
        <v>7381435</v>
      </c>
      <c r="M29" s="7">
        <v>9278507</v>
      </c>
      <c r="N29" s="7">
        <v>2817689</v>
      </c>
    </row>
    <row r="30" spans="1:14">
      <c r="A30" s="3">
        <v>29</v>
      </c>
      <c r="B30" s="4" t="s">
        <v>226</v>
      </c>
      <c r="C30" s="4" t="s">
        <v>227</v>
      </c>
      <c r="D30" s="4" t="s">
        <v>228</v>
      </c>
      <c r="E30" s="4" t="s">
        <v>197</v>
      </c>
      <c r="F30" s="9" t="s">
        <v>191</v>
      </c>
      <c r="G30" s="10">
        <v>44426</v>
      </c>
      <c r="H30" s="9" t="s">
        <v>231</v>
      </c>
      <c r="I30" s="6" t="s">
        <v>188</v>
      </c>
      <c r="J30" s="9">
        <v>4</v>
      </c>
      <c r="K30" s="7">
        <v>3773964</v>
      </c>
      <c r="L30" s="7">
        <v>6419065</v>
      </c>
      <c r="M30" s="7">
        <v>8431588</v>
      </c>
      <c r="N30" s="7">
        <v>2442326</v>
      </c>
    </row>
    <row r="31" spans="1:14">
      <c r="A31" s="3">
        <v>30</v>
      </c>
      <c r="B31" s="4" t="s">
        <v>226</v>
      </c>
      <c r="C31" s="4" t="s">
        <v>230</v>
      </c>
      <c r="D31" s="4" t="s">
        <v>228</v>
      </c>
      <c r="E31" s="4" t="s">
        <v>197</v>
      </c>
      <c r="F31" s="9" t="s">
        <v>201</v>
      </c>
      <c r="G31" s="10">
        <v>44426</v>
      </c>
      <c r="H31" s="11" t="s">
        <v>187</v>
      </c>
      <c r="I31" s="6" t="s">
        <v>188</v>
      </c>
      <c r="J31" s="11">
        <v>5</v>
      </c>
      <c r="K31" s="7">
        <v>7265864</v>
      </c>
      <c r="L31" s="7">
        <v>6205995</v>
      </c>
      <c r="M31" s="7">
        <v>9407907</v>
      </c>
      <c r="N31" s="7">
        <v>491415</v>
      </c>
    </row>
    <row r="32" spans="1:14">
      <c r="A32" s="3">
        <v>31</v>
      </c>
      <c r="B32" s="4" t="s">
        <v>234</v>
      </c>
      <c r="C32" s="4" t="s">
        <v>204</v>
      </c>
      <c r="D32" s="9" t="s">
        <v>196</v>
      </c>
      <c r="E32" s="4" t="s">
        <v>211</v>
      </c>
      <c r="F32" s="9" t="s">
        <v>191</v>
      </c>
      <c r="G32" s="10">
        <v>44428</v>
      </c>
      <c r="H32" s="11" t="s">
        <v>235</v>
      </c>
      <c r="I32" s="6" t="s">
        <v>188</v>
      </c>
      <c r="J32" s="11">
        <v>4</v>
      </c>
      <c r="K32" s="7">
        <v>410095</v>
      </c>
      <c r="L32" s="7">
        <v>4521677</v>
      </c>
      <c r="M32" s="7">
        <v>432405</v>
      </c>
      <c r="N32" s="7">
        <v>1339909</v>
      </c>
    </row>
    <row r="33" spans="1:14">
      <c r="A33" s="3">
        <v>32</v>
      </c>
      <c r="B33" s="8" t="s">
        <v>192</v>
      </c>
      <c r="C33" s="4" t="s">
        <v>236</v>
      </c>
      <c r="D33" s="9" t="s">
        <v>196</v>
      </c>
      <c r="E33" s="4" t="s">
        <v>237</v>
      </c>
      <c r="F33" s="9" t="s">
        <v>191</v>
      </c>
      <c r="G33" s="10">
        <v>44428</v>
      </c>
      <c r="H33" s="11" t="s">
        <v>235</v>
      </c>
      <c r="I33" s="6" t="s">
        <v>188</v>
      </c>
      <c r="J33" s="11">
        <v>5</v>
      </c>
      <c r="K33" s="7">
        <v>4408770</v>
      </c>
      <c r="L33" s="7">
        <v>9601407</v>
      </c>
      <c r="M33" s="7">
        <v>2175653</v>
      </c>
      <c r="N33" s="7">
        <v>7057290</v>
      </c>
    </row>
    <row r="34" spans="1:14">
      <c r="A34" s="3">
        <v>33</v>
      </c>
      <c r="B34" s="8" t="s">
        <v>192</v>
      </c>
      <c r="C34" s="4" t="s">
        <v>18</v>
      </c>
      <c r="D34" s="9" t="s">
        <v>196</v>
      </c>
      <c r="E34" s="4" t="s">
        <v>237</v>
      </c>
      <c r="F34" s="9" t="s">
        <v>191</v>
      </c>
      <c r="G34" s="10">
        <v>44428</v>
      </c>
      <c r="H34" s="11" t="s">
        <v>235</v>
      </c>
      <c r="I34" s="6" t="s">
        <v>188</v>
      </c>
      <c r="J34" s="11">
        <v>4</v>
      </c>
      <c r="K34" s="7">
        <v>2054548</v>
      </c>
      <c r="L34" s="7">
        <v>4041108</v>
      </c>
      <c r="M34" s="7">
        <v>5494229</v>
      </c>
      <c r="N34" s="7">
        <v>2280876</v>
      </c>
    </row>
    <row r="35" spans="1:14">
      <c r="A35" s="3">
        <v>34</v>
      </c>
      <c r="B35" s="4" t="s">
        <v>238</v>
      </c>
      <c r="C35" s="4" t="s">
        <v>236</v>
      </c>
      <c r="D35" s="9" t="s">
        <v>196</v>
      </c>
      <c r="E35" s="4" t="s">
        <v>211</v>
      </c>
      <c r="F35" s="9" t="s">
        <v>191</v>
      </c>
      <c r="G35" s="10">
        <v>41940</v>
      </c>
      <c r="H35" s="11" t="s">
        <v>235</v>
      </c>
      <c r="I35" s="6" t="s">
        <v>188</v>
      </c>
      <c r="J35" s="11">
        <v>5</v>
      </c>
      <c r="K35" s="7">
        <v>31343</v>
      </c>
      <c r="L35" s="7">
        <v>443402</v>
      </c>
      <c r="M35" s="7">
        <v>7863497</v>
      </c>
      <c r="N35" s="7">
        <v>9350284</v>
      </c>
    </row>
    <row r="36" spans="1:14">
      <c r="A36" s="3">
        <v>35</v>
      </c>
      <c r="B36" s="4" t="s">
        <v>238</v>
      </c>
      <c r="C36" s="4" t="s">
        <v>18</v>
      </c>
      <c r="D36" s="9" t="s">
        <v>196</v>
      </c>
      <c r="E36" s="4" t="s">
        <v>211</v>
      </c>
      <c r="F36" s="9" t="s">
        <v>191</v>
      </c>
      <c r="G36" s="10">
        <v>43698</v>
      </c>
      <c r="H36" s="11" t="s">
        <v>187</v>
      </c>
      <c r="I36" s="6" t="s">
        <v>188</v>
      </c>
      <c r="J36" s="11">
        <v>4</v>
      </c>
      <c r="K36" s="7">
        <v>7004726</v>
      </c>
      <c r="L36" s="7">
        <v>1569173</v>
      </c>
      <c r="M36" s="7">
        <v>5862204</v>
      </c>
      <c r="N36" s="7">
        <v>4397940</v>
      </c>
    </row>
    <row r="37" spans="1:14">
      <c r="A37" s="3">
        <v>36</v>
      </c>
      <c r="B37" s="4" t="s">
        <v>216</v>
      </c>
      <c r="C37" s="4" t="s">
        <v>217</v>
      </c>
      <c r="D37" s="9" t="s">
        <v>239</v>
      </c>
      <c r="E37" s="4" t="s">
        <v>211</v>
      </c>
      <c r="F37" s="9" t="s">
        <v>191</v>
      </c>
      <c r="G37" s="10" t="s">
        <v>240</v>
      </c>
      <c r="H37" s="11" t="s">
        <v>187</v>
      </c>
      <c r="I37" s="6" t="s">
        <v>188</v>
      </c>
      <c r="J37" s="11">
        <v>1</v>
      </c>
      <c r="K37" s="7"/>
      <c r="L37" s="7"/>
      <c r="M37" s="7"/>
      <c r="N37" s="7"/>
    </row>
    <row r="38" spans="1:14">
      <c r="A38" s="3">
        <v>37</v>
      </c>
      <c r="B38" s="4" t="s">
        <v>241</v>
      </c>
      <c r="C38" s="4" t="s">
        <v>214</v>
      </c>
      <c r="D38" s="9" t="s">
        <v>196</v>
      </c>
      <c r="E38" s="4" t="s">
        <v>211</v>
      </c>
      <c r="F38" s="9" t="s">
        <v>191</v>
      </c>
      <c r="G38" s="10">
        <v>43698</v>
      </c>
      <c r="H38" s="9" t="s">
        <v>242</v>
      </c>
      <c r="I38" s="6" t="s">
        <v>188</v>
      </c>
      <c r="J38" s="9">
        <v>5</v>
      </c>
      <c r="K38" s="7">
        <v>975613</v>
      </c>
      <c r="L38" s="7">
        <v>1984053</v>
      </c>
      <c r="M38" s="7">
        <v>7724370</v>
      </c>
      <c r="N38" s="7">
        <v>1779984</v>
      </c>
    </row>
    <row r="39" spans="1:14">
      <c r="A39" s="3">
        <v>38</v>
      </c>
      <c r="B39" s="4" t="s">
        <v>243</v>
      </c>
      <c r="C39" s="4" t="s">
        <v>209</v>
      </c>
      <c r="D39" s="9" t="s">
        <v>196</v>
      </c>
      <c r="E39" s="4" t="s">
        <v>211</v>
      </c>
      <c r="F39" s="4" t="s">
        <v>191</v>
      </c>
      <c r="G39" s="10">
        <v>41940</v>
      </c>
      <c r="H39" s="4" t="s">
        <v>242</v>
      </c>
      <c r="I39" s="6" t="s">
        <v>188</v>
      </c>
      <c r="J39" s="4">
        <v>4</v>
      </c>
      <c r="K39" s="7">
        <v>5325856</v>
      </c>
      <c r="L39" s="7">
        <v>3566965</v>
      </c>
      <c r="M39" s="7">
        <v>9863577</v>
      </c>
      <c r="N39" s="7">
        <v>8819083</v>
      </c>
    </row>
    <row r="40" spans="1:14">
      <c r="A40" s="3">
        <v>39</v>
      </c>
      <c r="B40" s="4" t="s">
        <v>244</v>
      </c>
      <c r="C40" s="4" t="s">
        <v>245</v>
      </c>
      <c r="D40" s="4" t="s">
        <v>228</v>
      </c>
      <c r="E40" s="4" t="s">
        <v>185</v>
      </c>
      <c r="F40" s="4" t="s">
        <v>191</v>
      </c>
      <c r="G40" s="10">
        <v>43696</v>
      </c>
      <c r="H40" s="4" t="s">
        <v>242</v>
      </c>
      <c r="I40" s="6" t="s">
        <v>188</v>
      </c>
      <c r="J40" s="4">
        <v>4</v>
      </c>
      <c r="K40" s="7">
        <v>2079959</v>
      </c>
      <c r="L40" s="7">
        <v>9152406</v>
      </c>
      <c r="M40" s="7">
        <v>1581792</v>
      </c>
      <c r="N40" s="7">
        <v>9845113</v>
      </c>
    </row>
    <row r="41" spans="1:14">
      <c r="A41" s="3">
        <v>40</v>
      </c>
      <c r="B41" s="4" t="s">
        <v>246</v>
      </c>
      <c r="C41" s="4" t="s">
        <v>247</v>
      </c>
      <c r="D41" s="4" t="s">
        <v>248</v>
      </c>
      <c r="E41" s="4" t="s">
        <v>185</v>
      </c>
      <c r="F41" s="4" t="s">
        <v>191</v>
      </c>
      <c r="G41" s="10">
        <v>43696</v>
      </c>
      <c r="H41" s="4" t="s">
        <v>242</v>
      </c>
      <c r="I41" s="6" t="s">
        <v>188</v>
      </c>
      <c r="J41" s="4">
        <v>5</v>
      </c>
      <c r="K41" s="7">
        <v>3130871</v>
      </c>
      <c r="L41" s="7">
        <v>8980327</v>
      </c>
      <c r="M41" s="7">
        <v>6916804</v>
      </c>
      <c r="N41" s="7">
        <v>3886148</v>
      </c>
    </row>
    <row r="42" spans="1:14">
      <c r="A42" s="3">
        <v>41</v>
      </c>
      <c r="B42" s="4" t="s">
        <v>246</v>
      </c>
      <c r="C42" s="4" t="s">
        <v>249</v>
      </c>
      <c r="D42" s="4" t="s">
        <v>248</v>
      </c>
      <c r="E42" s="4" t="s">
        <v>185</v>
      </c>
      <c r="F42" s="4" t="s">
        <v>191</v>
      </c>
      <c r="G42" s="10">
        <v>43696</v>
      </c>
      <c r="H42" s="4" t="s">
        <v>242</v>
      </c>
      <c r="I42" s="6" t="s">
        <v>188</v>
      </c>
      <c r="J42" s="4">
        <v>4</v>
      </c>
      <c r="K42" s="7">
        <v>2110795</v>
      </c>
      <c r="L42" s="7">
        <v>9857372</v>
      </c>
      <c r="M42" s="7">
        <v>9389873</v>
      </c>
      <c r="N42" s="7">
        <v>3141150</v>
      </c>
    </row>
    <row r="43" spans="1:14">
      <c r="A43" s="3">
        <v>42</v>
      </c>
      <c r="B43" s="4" t="s">
        <v>250</v>
      </c>
      <c r="C43" s="4" t="s">
        <v>251</v>
      </c>
      <c r="D43" s="9" t="s">
        <v>196</v>
      </c>
      <c r="E43" s="4" t="s">
        <v>211</v>
      </c>
      <c r="F43" s="4" t="s">
        <v>191</v>
      </c>
      <c r="G43" s="10">
        <v>44740</v>
      </c>
      <c r="H43" s="4" t="s">
        <v>242</v>
      </c>
      <c r="I43" s="6" t="s">
        <v>188</v>
      </c>
      <c r="J43" s="4">
        <v>1</v>
      </c>
      <c r="K43" s="7"/>
      <c r="L43" s="7"/>
      <c r="M43" s="7"/>
      <c r="N43" s="7"/>
    </row>
    <row r="44" spans="1:14">
      <c r="A44" s="3">
        <v>43</v>
      </c>
      <c r="B44" s="4" t="s">
        <v>250</v>
      </c>
      <c r="C44" s="4" t="s">
        <v>252</v>
      </c>
      <c r="D44" s="9" t="s">
        <v>194</v>
      </c>
      <c r="E44" s="4" t="s">
        <v>211</v>
      </c>
      <c r="F44" s="4" t="s">
        <v>191</v>
      </c>
      <c r="G44" s="10" t="s">
        <v>253</v>
      </c>
      <c r="H44" s="4" t="s">
        <v>242</v>
      </c>
      <c r="I44" s="6" t="s">
        <v>188</v>
      </c>
      <c r="J44" s="4">
        <v>1</v>
      </c>
      <c r="K44" s="7"/>
      <c r="L44" s="7"/>
      <c r="M44" s="7"/>
      <c r="N44" s="7"/>
    </row>
    <row r="45" spans="1:14">
      <c r="H45" s="4"/>
      <c r="I45" s="4"/>
      <c r="J45" s="4"/>
    </row>
  </sheetData>
  <autoFilter ref="A1:N44" xr:uid="{38747FB2-3967-4329-96F4-60E4A26719A5}"/>
  <conditionalFormatting sqref="B2:B44">
    <cfRule type="duplicateValues" dxfId="3" priority="4"/>
  </conditionalFormatting>
  <conditionalFormatting sqref="K1:N42">
    <cfRule type="top10" dxfId="2" priority="1" rank="10"/>
    <cfRule type="cellIs" dxfId="1" priority="2" operator="greaterThan">
      <formula>4935569</formula>
    </cfRule>
  </conditionalFormatting>
  <conditionalFormatting sqref="K43:N1048576">
    <cfRule type="cellIs" dxfId="0" priority="3" operator="greaterThan">
      <formula>6000000</formula>
    </cfRule>
  </conditionalFormatting>
  <dataValidations disablePrompts="1" count="1">
    <dataValidation allowBlank="1" showInputMessage="1" showErrorMessage="1" promptTitle="Alert!" prompt="Please do not enter list of countries in a single cell" sqref="I45 H36:H45 H5:H31" xr:uid="{3AEA6AC5-4EF2-4E67-BEDA-FEDF22927EDE}"/>
  </dataValidation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xr2:uid="{E04A1F33-552E-43B6-8FC4-F85E3D441AC4}">
          <x14:colorSeries rgb="FF376092"/>
          <x14:colorNegative rgb="FFD00000"/>
          <x14:colorAxis rgb="FF000000"/>
          <x14:colorMarkers rgb="FFD00000"/>
          <x14:colorFirst rgb="FFD00000"/>
          <x14:colorLast rgb="FFD00000"/>
          <x14:colorHigh rgb="FFD00000"/>
          <x14:colorLow rgb="FFD00000"/>
          <x14:sparklines>
            <x14:sparkline>
              <xm:f>'Data formatting'!K2:N2</xm:f>
              <xm:sqref>O2</xm:sqref>
            </x14:sparkline>
            <x14:sparkline>
              <xm:f>'Data formatting'!K3:N3</xm:f>
              <xm:sqref>O3</xm:sqref>
            </x14:sparkline>
            <x14:sparkline>
              <xm:f>'Data formatting'!K4:N4</xm:f>
              <xm:sqref>O4</xm:sqref>
            </x14:sparkline>
            <x14:sparkline>
              <xm:f>'Data formatting'!K5:N5</xm:f>
              <xm:sqref>O5</xm:sqref>
            </x14:sparkline>
            <x14:sparkline>
              <xm:f>'Data formatting'!K6:N6</xm:f>
              <xm:sqref>O6</xm:sqref>
            </x14:sparkline>
            <x14:sparkline>
              <xm:f>'Data formatting'!K7:N7</xm:f>
              <xm:sqref>O7</xm:sqref>
            </x14:sparkline>
            <x14:sparkline>
              <xm:f>'Data formatting'!K8:N8</xm:f>
              <xm:sqref>O8</xm:sqref>
            </x14:sparkline>
            <x14:sparkline>
              <xm:f>'Data formatting'!K9:N9</xm:f>
              <xm:sqref>O9</xm:sqref>
            </x14:sparkline>
            <x14:sparkline>
              <xm:f>'Data formatting'!K10:N10</xm:f>
              <xm:sqref>O10</xm:sqref>
            </x14:sparkline>
            <x14:sparkline>
              <xm:f>'Data formatting'!K11:N11</xm:f>
              <xm:sqref>O11</xm:sqref>
            </x14:sparkline>
            <x14:sparkline>
              <xm:f>'Data formatting'!K12:N12</xm:f>
              <xm:sqref>O12</xm:sqref>
            </x14:sparkline>
            <x14:sparkline>
              <xm:f>'Data formatting'!K13:N13</xm:f>
              <xm:sqref>O13</xm:sqref>
            </x14:sparkline>
            <x14:sparkline>
              <xm:f>'Data formatting'!K14:N14</xm:f>
              <xm:sqref>O14</xm:sqref>
            </x14:sparkline>
            <x14:sparkline>
              <xm:f>'Data formatting'!K15:N15</xm:f>
              <xm:sqref>O15</xm:sqref>
            </x14:sparkline>
            <x14:sparkline>
              <xm:f>'Data formatting'!K16:N16</xm:f>
              <xm:sqref>O16</xm:sqref>
            </x14:sparkline>
            <x14:sparkline>
              <xm:f>'Data formatting'!K17:N17</xm:f>
              <xm:sqref>O17</xm:sqref>
            </x14:sparkline>
            <x14:sparkline>
              <xm:f>'Data formatting'!K18:N18</xm:f>
              <xm:sqref>O18</xm:sqref>
            </x14:sparkline>
            <x14:sparkline>
              <xm:f>'Data formatting'!K19:N19</xm:f>
              <xm:sqref>O19</xm:sqref>
            </x14:sparkline>
            <x14:sparkline>
              <xm:f>'Data formatting'!K20:N20</xm:f>
              <xm:sqref>O20</xm:sqref>
            </x14:sparkline>
            <x14:sparkline>
              <xm:f>'Data formatting'!K21:N21</xm:f>
              <xm:sqref>O21</xm:sqref>
            </x14:sparkline>
            <x14:sparkline>
              <xm:f>'Data formatting'!K22:N22</xm:f>
              <xm:sqref>O22</xm:sqref>
            </x14:sparkline>
            <x14:sparkline>
              <xm:f>'Data formatting'!K23:N23</xm:f>
              <xm:sqref>O23</xm:sqref>
            </x14:sparkline>
            <x14:sparkline>
              <xm:f>'Data formatting'!K24:N24</xm:f>
              <xm:sqref>O24</xm:sqref>
            </x14:sparkline>
            <x14:sparkline>
              <xm:f>'Data formatting'!K25:N25</xm:f>
              <xm:sqref>O25</xm:sqref>
            </x14:sparkline>
            <x14:sparkline>
              <xm:f>'Data formatting'!K26:N26</xm:f>
              <xm:sqref>O26</xm:sqref>
            </x14:sparkline>
            <x14:sparkline>
              <xm:f>'Data formatting'!K27:N27</xm:f>
              <xm:sqref>O27</xm:sqref>
            </x14:sparkline>
            <x14:sparkline>
              <xm:f>'Data formatting'!K28:N28</xm:f>
              <xm:sqref>O28</xm:sqref>
            </x14:sparkline>
            <x14:sparkline>
              <xm:f>'Data formatting'!K29:N29</xm:f>
              <xm:sqref>O29</xm:sqref>
            </x14:sparkline>
            <x14:sparkline>
              <xm:f>'Data formatting'!K30:N30</xm:f>
              <xm:sqref>O30</xm:sqref>
            </x14:sparkline>
            <x14:sparkline>
              <xm:f>'Data formatting'!K31:N31</xm:f>
              <xm:sqref>O31</xm:sqref>
            </x14:sparkline>
            <x14:sparkline>
              <xm:f>'Data formatting'!K32:N32</xm:f>
              <xm:sqref>O32</xm:sqref>
            </x14:sparkline>
            <x14:sparkline>
              <xm:f>'Data formatting'!K33:N33</xm:f>
              <xm:sqref>O33</xm:sqref>
            </x14:sparkline>
            <x14:sparkline>
              <xm:f>'Data formatting'!K34:N34</xm:f>
              <xm:sqref>O34</xm:sqref>
            </x14:sparkline>
            <x14:sparkline>
              <xm:f>'Data formatting'!K35:N35</xm:f>
              <xm:sqref>O35</xm:sqref>
            </x14:sparkline>
            <x14:sparkline>
              <xm:f>'Data formatting'!K36:N36</xm:f>
              <xm:sqref>O36</xm:sqref>
            </x14:sparkline>
            <x14:sparkline>
              <xm:f>'Data formatting'!K37:N37</xm:f>
              <xm:sqref>O37</xm:sqref>
            </x14:sparkline>
            <x14:sparkline>
              <xm:f>'Data formatting'!K38:N38</xm:f>
              <xm:sqref>O38</xm:sqref>
            </x14:sparkline>
            <x14:sparkline>
              <xm:f>'Data formatting'!K39:N39</xm:f>
              <xm:sqref>O39</xm:sqref>
            </x14:sparkline>
            <x14:sparkline>
              <xm:f>'Data formatting'!K40:N40</xm:f>
              <xm:sqref>O40</xm:sqref>
            </x14:sparkline>
            <x14:sparkline>
              <xm:f>'Data formatting'!K41:N41</xm:f>
              <xm:sqref>O41</xm:sqref>
            </x14:sparkline>
            <x14:sparkline>
              <xm:f>'Data formatting'!K42:N42</xm:f>
              <xm:sqref>O42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8D067-0CD1-4D0C-97C6-1C08ABF37DD6}">
  <sheetPr>
    <tabColor theme="5" tint="0.79998168889431442"/>
  </sheetPr>
  <dimension ref="A1:O44"/>
  <sheetViews>
    <sheetView topLeftCell="D1" workbookViewId="0">
      <selection activeCell="D1" sqref="D1"/>
    </sheetView>
  </sheetViews>
  <sheetFormatPr defaultRowHeight="14.5"/>
  <cols>
    <col min="2" max="2" width="25.54296875" bestFit="1" customWidth="1"/>
    <col min="3" max="3" width="25.54296875" customWidth="1"/>
    <col min="4" max="4" width="22.7265625" customWidth="1"/>
    <col min="5" max="5" width="12.54296875" bestFit="1" customWidth="1"/>
    <col min="7" max="7" width="20.1796875" bestFit="1" customWidth="1"/>
    <col min="8" max="8" width="16.453125" style="37" customWidth="1"/>
    <col min="9" max="9" width="12.453125" customWidth="1"/>
    <col min="10" max="10" width="11.81640625" customWidth="1"/>
    <col min="12" max="13" width="13.81640625" customWidth="1"/>
    <col min="14" max="14" width="14.81640625" customWidth="1"/>
    <col min="15" max="15" width="15.81640625" customWidth="1"/>
  </cols>
  <sheetData>
    <row r="1" spans="1:15">
      <c r="A1" s="18" t="s">
        <v>169</v>
      </c>
      <c r="B1" s="18" t="s">
        <v>3</v>
      </c>
      <c r="C1" s="18"/>
      <c r="D1" s="18" t="s">
        <v>170</v>
      </c>
      <c r="E1" s="18" t="s">
        <v>171</v>
      </c>
      <c r="F1" s="18" t="s">
        <v>172</v>
      </c>
      <c r="G1" s="18" t="s">
        <v>173</v>
      </c>
      <c r="H1" s="19" t="s">
        <v>174</v>
      </c>
      <c r="I1" s="18" t="s">
        <v>175</v>
      </c>
      <c r="J1" s="18" t="s">
        <v>176</v>
      </c>
      <c r="K1" s="18" t="s">
        <v>177</v>
      </c>
      <c r="L1" s="18" t="s">
        <v>178</v>
      </c>
      <c r="M1" s="18" t="s">
        <v>179</v>
      </c>
      <c r="N1" s="18" t="s">
        <v>180</v>
      </c>
      <c r="O1" s="18" t="s">
        <v>181</v>
      </c>
    </row>
    <row r="2" spans="1:15">
      <c r="A2">
        <v>1</v>
      </c>
      <c r="B2" s="20" t="s">
        <v>182</v>
      </c>
      <c r="C2" s="20"/>
      <c r="D2" s="20" t="s">
        <v>183</v>
      </c>
      <c r="E2" s="20" t="s">
        <v>184</v>
      </c>
      <c r="F2" s="21" t="s">
        <v>197</v>
      </c>
      <c r="G2" s="20" t="s">
        <v>186</v>
      </c>
      <c r="H2" s="22">
        <v>44770</v>
      </c>
      <c r="I2" s="23" t="s">
        <v>187</v>
      </c>
      <c r="J2" s="23" t="s">
        <v>188</v>
      </c>
      <c r="K2" s="23">
        <v>4</v>
      </c>
      <c r="L2" s="24">
        <v>3552880</v>
      </c>
      <c r="M2" s="24">
        <v>3601934</v>
      </c>
      <c r="N2" s="24">
        <v>5124873</v>
      </c>
      <c r="O2" s="24">
        <v>2117952</v>
      </c>
    </row>
    <row r="3" spans="1:15">
      <c r="A3">
        <v>2</v>
      </c>
      <c r="B3" s="20" t="s">
        <v>189</v>
      </c>
      <c r="C3" s="20"/>
      <c r="D3" s="20" t="s">
        <v>190</v>
      </c>
      <c r="E3" s="20" t="s">
        <v>184</v>
      </c>
      <c r="F3" s="21" t="s">
        <v>197</v>
      </c>
      <c r="G3" s="20" t="s">
        <v>191</v>
      </c>
      <c r="H3" s="22">
        <v>44740</v>
      </c>
      <c r="I3" s="23" t="s">
        <v>187</v>
      </c>
      <c r="J3" s="23" t="s">
        <v>188</v>
      </c>
      <c r="K3" s="23">
        <v>5</v>
      </c>
      <c r="L3" s="24">
        <v>8325927</v>
      </c>
      <c r="M3" s="24">
        <v>7895295</v>
      </c>
      <c r="N3" s="24">
        <v>2192370</v>
      </c>
      <c r="O3" s="24">
        <v>1205448</v>
      </c>
    </row>
    <row r="4" spans="1:15">
      <c r="A4">
        <v>3</v>
      </c>
      <c r="B4" s="25" t="s">
        <v>192</v>
      </c>
      <c r="C4" s="25"/>
      <c r="D4" s="20" t="s">
        <v>236</v>
      </c>
      <c r="E4" s="26" t="s">
        <v>194</v>
      </c>
      <c r="F4" s="21" t="s">
        <v>195</v>
      </c>
      <c r="G4" s="20" t="s">
        <v>191</v>
      </c>
      <c r="H4" s="22">
        <v>44740</v>
      </c>
      <c r="I4" s="23" t="s">
        <v>187</v>
      </c>
      <c r="J4" s="23" t="s">
        <v>188</v>
      </c>
      <c r="K4" s="23">
        <v>4</v>
      </c>
      <c r="L4" s="24">
        <v>9214741</v>
      </c>
      <c r="M4" s="24">
        <v>7136110</v>
      </c>
      <c r="N4" s="24">
        <v>2051125</v>
      </c>
      <c r="O4" s="24">
        <v>6827018</v>
      </c>
    </row>
    <row r="5" spans="1:15">
      <c r="A5">
        <v>4</v>
      </c>
      <c r="B5" s="25" t="s">
        <v>192</v>
      </c>
      <c r="C5" s="25"/>
      <c r="D5" s="21" t="s">
        <v>254</v>
      </c>
      <c r="E5" s="26" t="s">
        <v>196</v>
      </c>
      <c r="F5" s="20" t="s">
        <v>197</v>
      </c>
      <c r="G5" s="20" t="s">
        <v>191</v>
      </c>
      <c r="H5" s="22">
        <v>44740</v>
      </c>
      <c r="I5" s="23" t="s">
        <v>198</v>
      </c>
      <c r="J5" s="23" t="s">
        <v>188</v>
      </c>
      <c r="K5" s="23">
        <v>5</v>
      </c>
      <c r="L5" s="24">
        <v>2597601</v>
      </c>
      <c r="M5" s="24">
        <v>7208778</v>
      </c>
      <c r="N5" s="24">
        <v>1455489</v>
      </c>
      <c r="O5" s="24">
        <v>7185260</v>
      </c>
    </row>
    <row r="6" spans="1:15">
      <c r="A6">
        <v>5</v>
      </c>
      <c r="B6" s="20" t="s">
        <v>199</v>
      </c>
      <c r="C6" s="20"/>
      <c r="D6" s="20" t="s">
        <v>200</v>
      </c>
      <c r="E6" s="26" t="s">
        <v>196</v>
      </c>
      <c r="F6" s="20" t="s">
        <v>197</v>
      </c>
      <c r="G6" s="20" t="s">
        <v>201</v>
      </c>
      <c r="H6" s="22">
        <v>44740</v>
      </c>
      <c r="I6" s="23" t="s">
        <v>202</v>
      </c>
      <c r="J6" s="23" t="s">
        <v>188</v>
      </c>
      <c r="K6" s="23">
        <v>4</v>
      </c>
      <c r="L6" s="24">
        <v>6332111</v>
      </c>
      <c r="M6" s="24">
        <v>5644948</v>
      </c>
      <c r="N6" s="24">
        <v>9060794</v>
      </c>
      <c r="O6" s="24">
        <v>9183080</v>
      </c>
    </row>
    <row r="7" spans="1:15">
      <c r="A7">
        <v>6</v>
      </c>
      <c r="B7" s="20" t="s">
        <v>199</v>
      </c>
      <c r="C7" s="20"/>
      <c r="D7" s="20" t="s">
        <v>203</v>
      </c>
      <c r="E7" s="26" t="s">
        <v>196</v>
      </c>
      <c r="F7" s="20" t="s">
        <v>195</v>
      </c>
      <c r="G7" s="26" t="s">
        <v>191</v>
      </c>
      <c r="H7" s="22">
        <v>43696</v>
      </c>
      <c r="I7" s="27" t="s">
        <v>187</v>
      </c>
      <c r="J7" s="23" t="s">
        <v>188</v>
      </c>
      <c r="K7" s="27">
        <v>5</v>
      </c>
      <c r="L7" s="24">
        <v>6621195</v>
      </c>
      <c r="M7" s="24">
        <v>5507650</v>
      </c>
      <c r="N7" s="24">
        <v>439008</v>
      </c>
      <c r="O7" s="24">
        <v>8976888</v>
      </c>
    </row>
    <row r="8" spans="1:15">
      <c r="A8">
        <v>7</v>
      </c>
      <c r="B8" s="20" t="s">
        <v>199</v>
      </c>
      <c r="C8" s="20"/>
      <c r="D8" s="20" t="s">
        <v>204</v>
      </c>
      <c r="E8" s="28" t="s">
        <v>239</v>
      </c>
      <c r="F8" s="20" t="s">
        <v>197</v>
      </c>
      <c r="G8" s="26" t="s">
        <v>191</v>
      </c>
      <c r="H8" s="22">
        <v>44740</v>
      </c>
      <c r="I8" s="27" t="s">
        <v>187</v>
      </c>
      <c r="J8" s="23" t="s">
        <v>188</v>
      </c>
      <c r="K8" s="27">
        <v>4</v>
      </c>
      <c r="L8" s="24">
        <v>5703056</v>
      </c>
      <c r="M8" s="24">
        <v>3175729</v>
      </c>
      <c r="N8" s="24">
        <v>9526255</v>
      </c>
      <c r="O8" s="24">
        <v>69283</v>
      </c>
    </row>
    <row r="9" spans="1:15">
      <c r="A9">
        <v>8</v>
      </c>
      <c r="B9" s="20" t="s">
        <v>205</v>
      </c>
      <c r="C9" s="20"/>
      <c r="D9" s="20" t="s">
        <v>206</v>
      </c>
      <c r="E9" s="26" t="s">
        <v>196</v>
      </c>
      <c r="F9" s="20" t="s">
        <v>197</v>
      </c>
      <c r="G9" s="26" t="s">
        <v>191</v>
      </c>
      <c r="H9" s="29" t="s">
        <v>207</v>
      </c>
      <c r="I9" s="27" t="s">
        <v>208</v>
      </c>
      <c r="J9" s="23" t="s">
        <v>188</v>
      </c>
      <c r="K9" s="27">
        <v>5</v>
      </c>
      <c r="L9" s="24">
        <v>5291782</v>
      </c>
      <c r="M9" s="24">
        <v>8160220</v>
      </c>
      <c r="N9" s="24">
        <v>6000560</v>
      </c>
      <c r="O9" s="24">
        <v>8411898</v>
      </c>
    </row>
    <row r="10" spans="1:15">
      <c r="A10">
        <v>9</v>
      </c>
      <c r="B10" s="20" t="s">
        <v>205</v>
      </c>
      <c r="C10" s="20"/>
      <c r="D10" s="20" t="s">
        <v>209</v>
      </c>
      <c r="E10" s="26" t="s">
        <v>196</v>
      </c>
      <c r="F10" s="20" t="s">
        <v>197</v>
      </c>
      <c r="G10" s="26" t="s">
        <v>191</v>
      </c>
      <c r="H10" s="22">
        <v>44740</v>
      </c>
      <c r="I10" s="30" t="s">
        <v>255</v>
      </c>
      <c r="J10" s="23" t="s">
        <v>188</v>
      </c>
      <c r="K10" s="27">
        <v>3</v>
      </c>
      <c r="L10" s="24">
        <v>6576946</v>
      </c>
      <c r="M10" s="24">
        <v>8011858</v>
      </c>
      <c r="N10" s="24">
        <v>9540741</v>
      </c>
      <c r="O10" s="24">
        <v>3475710</v>
      </c>
    </row>
    <row r="11" spans="1:15">
      <c r="A11">
        <v>10</v>
      </c>
      <c r="B11" s="21" t="s">
        <v>210</v>
      </c>
      <c r="C11" s="21"/>
      <c r="D11" s="21" t="s">
        <v>16</v>
      </c>
      <c r="E11" s="26" t="s">
        <v>196</v>
      </c>
      <c r="F11" s="20" t="s">
        <v>211</v>
      </c>
      <c r="G11" s="26" t="s">
        <v>191</v>
      </c>
      <c r="H11" s="22">
        <v>46932</v>
      </c>
      <c r="I11" s="27" t="s">
        <v>187</v>
      </c>
      <c r="J11" s="23" t="s">
        <v>188</v>
      </c>
      <c r="K11" s="27">
        <v>1</v>
      </c>
      <c r="L11" s="24">
        <v>0</v>
      </c>
      <c r="M11" s="24">
        <v>0</v>
      </c>
      <c r="N11" s="24">
        <v>0</v>
      </c>
      <c r="O11" s="24">
        <v>0</v>
      </c>
    </row>
    <row r="12" spans="1:15">
      <c r="A12">
        <v>11</v>
      </c>
      <c r="B12" s="21" t="s">
        <v>212</v>
      </c>
      <c r="C12" s="21"/>
      <c r="D12" s="20" t="s">
        <v>16</v>
      </c>
      <c r="E12" s="26" t="s">
        <v>196</v>
      </c>
      <c r="F12" s="20" t="s">
        <v>211</v>
      </c>
      <c r="G12" s="26" t="s">
        <v>201</v>
      </c>
      <c r="H12" s="31">
        <v>45980</v>
      </c>
      <c r="I12" s="27" t="s">
        <v>187</v>
      </c>
      <c r="J12" s="23" t="s">
        <v>188</v>
      </c>
      <c r="K12" s="27">
        <v>4</v>
      </c>
      <c r="L12" s="24">
        <v>9871138</v>
      </c>
      <c r="M12" s="24">
        <v>4966333</v>
      </c>
      <c r="N12" s="24">
        <v>9563695</v>
      </c>
      <c r="O12" s="24">
        <v>9503875</v>
      </c>
    </row>
    <row r="13" spans="1:15">
      <c r="A13">
        <v>12</v>
      </c>
      <c r="B13" s="20" t="s">
        <v>212</v>
      </c>
      <c r="C13" s="20"/>
      <c r="D13" s="20" t="s">
        <v>193</v>
      </c>
      <c r="E13" s="28" t="s">
        <v>194</v>
      </c>
      <c r="F13" s="20" t="s">
        <v>211</v>
      </c>
      <c r="G13" s="26" t="s">
        <v>191</v>
      </c>
      <c r="H13" s="22">
        <v>44131</v>
      </c>
      <c r="I13" s="27" t="s">
        <v>187</v>
      </c>
      <c r="J13" s="23" t="s">
        <v>188</v>
      </c>
      <c r="K13" s="27">
        <v>5</v>
      </c>
      <c r="L13" s="24">
        <v>8556670</v>
      </c>
      <c r="M13" s="24">
        <v>463919</v>
      </c>
      <c r="N13" s="24">
        <v>5219177</v>
      </c>
      <c r="O13" s="24">
        <v>2679654</v>
      </c>
    </row>
    <row r="14" spans="1:15">
      <c r="A14">
        <v>13</v>
      </c>
      <c r="B14" s="20" t="s">
        <v>210</v>
      </c>
      <c r="C14" s="20"/>
      <c r="D14" s="20" t="s">
        <v>193</v>
      </c>
      <c r="E14" s="26" t="s">
        <v>196</v>
      </c>
      <c r="F14" s="20" t="s">
        <v>211</v>
      </c>
      <c r="G14" s="26" t="s">
        <v>191</v>
      </c>
      <c r="H14" s="32">
        <v>45980</v>
      </c>
      <c r="I14" s="30" t="s">
        <v>255</v>
      </c>
      <c r="J14" s="23" t="s">
        <v>188</v>
      </c>
      <c r="K14" s="27">
        <v>4</v>
      </c>
      <c r="L14" s="24">
        <v>1870409</v>
      </c>
      <c r="M14" s="24">
        <v>5939395</v>
      </c>
      <c r="N14" s="24">
        <v>8468632</v>
      </c>
      <c r="O14" s="24">
        <v>5825991</v>
      </c>
    </row>
    <row r="15" spans="1:15">
      <c r="A15">
        <v>14</v>
      </c>
      <c r="B15" s="20" t="s">
        <v>213</v>
      </c>
      <c r="C15" s="20"/>
      <c r="D15" s="20" t="s">
        <v>214</v>
      </c>
      <c r="E15" s="26" t="s">
        <v>196</v>
      </c>
      <c r="F15" s="20" t="s">
        <v>197</v>
      </c>
      <c r="G15" s="26" t="s">
        <v>201</v>
      </c>
      <c r="H15" s="31">
        <v>44884</v>
      </c>
      <c r="I15" s="26" t="s">
        <v>208</v>
      </c>
      <c r="J15" s="23" t="s">
        <v>188</v>
      </c>
      <c r="K15" s="26">
        <v>5</v>
      </c>
      <c r="L15" s="24">
        <v>5157248</v>
      </c>
      <c r="M15" s="24">
        <v>3504283</v>
      </c>
      <c r="N15" s="24">
        <v>7960332</v>
      </c>
      <c r="O15" s="24">
        <v>8875451</v>
      </c>
    </row>
    <row r="16" spans="1:15">
      <c r="A16">
        <v>15</v>
      </c>
      <c r="B16" s="20" t="s">
        <v>215</v>
      </c>
      <c r="C16" s="20"/>
      <c r="D16" s="20" t="s">
        <v>193</v>
      </c>
      <c r="E16" s="26" t="s">
        <v>196</v>
      </c>
      <c r="F16" s="20" t="s">
        <v>197</v>
      </c>
      <c r="G16" s="26" t="s">
        <v>191</v>
      </c>
      <c r="H16" s="31">
        <v>45980</v>
      </c>
      <c r="I16" s="26" t="s">
        <v>201</v>
      </c>
      <c r="J16" s="23" t="s">
        <v>188</v>
      </c>
      <c r="K16" s="26">
        <v>1</v>
      </c>
      <c r="L16" s="24"/>
      <c r="M16" s="24">
        <v>0</v>
      </c>
      <c r="N16" s="24"/>
      <c r="O16" s="24"/>
    </row>
    <row r="17" spans="1:15">
      <c r="A17">
        <v>16</v>
      </c>
      <c r="B17" s="20" t="s">
        <v>216</v>
      </c>
      <c r="C17" s="20"/>
      <c r="D17" s="20" t="s">
        <v>214</v>
      </c>
      <c r="E17" s="26" t="s">
        <v>196</v>
      </c>
      <c r="F17" s="20" t="s">
        <v>256</v>
      </c>
      <c r="G17" s="26" t="s">
        <v>191</v>
      </c>
      <c r="H17" s="31">
        <v>43818</v>
      </c>
      <c r="I17" s="26" t="s">
        <v>201</v>
      </c>
      <c r="J17" s="23" t="s">
        <v>188</v>
      </c>
      <c r="K17" s="26">
        <v>4</v>
      </c>
      <c r="L17" s="24">
        <v>2572201</v>
      </c>
      <c r="M17" s="24">
        <v>7927421</v>
      </c>
      <c r="N17" s="24">
        <v>398718</v>
      </c>
      <c r="O17" s="24">
        <v>4738825</v>
      </c>
    </row>
    <row r="18" spans="1:15">
      <c r="A18">
        <v>17</v>
      </c>
      <c r="B18" s="20" t="s">
        <v>216</v>
      </c>
      <c r="C18" s="20"/>
      <c r="D18" s="20" t="s">
        <v>217</v>
      </c>
      <c r="E18" s="26" t="s">
        <v>196</v>
      </c>
      <c r="F18" s="20" t="s">
        <v>197</v>
      </c>
      <c r="G18" s="26" t="s">
        <v>191</v>
      </c>
      <c r="H18" s="31">
        <v>39101</v>
      </c>
      <c r="I18" s="26" t="s">
        <v>201</v>
      </c>
      <c r="J18" s="23" t="s">
        <v>188</v>
      </c>
      <c r="K18" s="26">
        <v>5</v>
      </c>
      <c r="L18" s="24">
        <v>6044115</v>
      </c>
      <c r="M18" s="24">
        <v>5923239</v>
      </c>
      <c r="N18" s="24">
        <v>2542618</v>
      </c>
      <c r="O18" s="24">
        <v>5638565</v>
      </c>
    </row>
    <row r="19" spans="1:15">
      <c r="A19">
        <v>18</v>
      </c>
      <c r="B19" s="20" t="s">
        <v>218</v>
      </c>
      <c r="C19" s="20"/>
      <c r="D19" s="21" t="s">
        <v>18</v>
      </c>
      <c r="E19" s="26" t="s">
        <v>196</v>
      </c>
      <c r="F19" s="20" t="s">
        <v>197</v>
      </c>
      <c r="G19" s="26" t="s">
        <v>191</v>
      </c>
      <c r="H19" s="33">
        <v>38371</v>
      </c>
      <c r="I19" s="26" t="s">
        <v>201</v>
      </c>
      <c r="J19" s="23" t="s">
        <v>188</v>
      </c>
      <c r="K19" s="26">
        <v>4</v>
      </c>
      <c r="L19" s="24">
        <v>4733191</v>
      </c>
      <c r="M19" s="24">
        <v>5742703</v>
      </c>
      <c r="N19" s="24">
        <v>7639842</v>
      </c>
      <c r="O19" s="24">
        <v>379507</v>
      </c>
    </row>
    <row r="20" spans="1:15">
      <c r="A20">
        <v>19</v>
      </c>
      <c r="B20" s="20" t="s">
        <v>218</v>
      </c>
      <c r="C20" s="20"/>
      <c r="D20" s="20" t="s">
        <v>204</v>
      </c>
      <c r="E20" s="26" t="s">
        <v>196</v>
      </c>
      <c r="F20" s="20" t="s">
        <v>197</v>
      </c>
      <c r="G20" s="26" t="s">
        <v>191</v>
      </c>
      <c r="H20" s="22">
        <v>41940</v>
      </c>
      <c r="I20" s="27" t="s">
        <v>187</v>
      </c>
      <c r="J20" s="23" t="s">
        <v>188</v>
      </c>
      <c r="K20" s="27">
        <v>5</v>
      </c>
      <c r="L20" s="24">
        <v>9596607</v>
      </c>
      <c r="M20" s="24">
        <v>8415127</v>
      </c>
      <c r="N20" s="24">
        <v>1842911</v>
      </c>
      <c r="O20" s="24">
        <v>6697745</v>
      </c>
    </row>
    <row r="21" spans="1:15">
      <c r="A21">
        <v>20</v>
      </c>
      <c r="B21" s="20" t="s">
        <v>189</v>
      </c>
      <c r="C21" s="20"/>
      <c r="D21" s="20" t="s">
        <v>220</v>
      </c>
      <c r="E21" s="28" t="s">
        <v>257</v>
      </c>
      <c r="F21" s="20" t="s">
        <v>197</v>
      </c>
      <c r="G21" s="26" t="s">
        <v>191</v>
      </c>
      <c r="H21" s="22">
        <v>41940</v>
      </c>
      <c r="I21" s="27" t="s">
        <v>187</v>
      </c>
      <c r="J21" s="23" t="s">
        <v>188</v>
      </c>
      <c r="K21" s="27">
        <v>4</v>
      </c>
      <c r="L21" s="24">
        <v>9594351</v>
      </c>
      <c r="M21" s="24">
        <v>8486823</v>
      </c>
      <c r="N21" s="24">
        <v>9622595</v>
      </c>
      <c r="O21" s="24">
        <v>5246735</v>
      </c>
    </row>
    <row r="22" spans="1:15">
      <c r="A22">
        <v>21</v>
      </c>
      <c r="B22" s="20" t="s">
        <v>219</v>
      </c>
      <c r="C22" s="20"/>
      <c r="D22" s="20" t="s">
        <v>221</v>
      </c>
      <c r="E22" s="26" t="s">
        <v>196</v>
      </c>
      <c r="F22" s="20" t="s">
        <v>197</v>
      </c>
      <c r="G22" s="26" t="s">
        <v>191</v>
      </c>
      <c r="H22" s="22">
        <v>41940</v>
      </c>
      <c r="I22" s="27" t="s">
        <v>187</v>
      </c>
      <c r="J22" s="23" t="s">
        <v>188</v>
      </c>
      <c r="K22" s="27">
        <v>4</v>
      </c>
      <c r="L22" s="24">
        <v>7016187</v>
      </c>
      <c r="M22" s="24">
        <v>3190663</v>
      </c>
      <c r="N22" s="24">
        <v>1816700</v>
      </c>
      <c r="O22" s="24">
        <v>9315215</v>
      </c>
    </row>
    <row r="23" spans="1:15">
      <c r="A23">
        <v>22</v>
      </c>
      <c r="B23" s="20" t="s">
        <v>222</v>
      </c>
      <c r="C23" s="20"/>
      <c r="D23" s="20" t="s">
        <v>223</v>
      </c>
      <c r="E23" s="26" t="s">
        <v>196</v>
      </c>
      <c r="F23" s="20" t="s">
        <v>195</v>
      </c>
      <c r="G23" s="26" t="s">
        <v>191</v>
      </c>
      <c r="H23" s="34">
        <v>44825</v>
      </c>
      <c r="I23" s="27" t="s">
        <v>187</v>
      </c>
      <c r="J23" s="23" t="s">
        <v>188</v>
      </c>
      <c r="K23" s="27">
        <v>5</v>
      </c>
      <c r="L23" s="24">
        <v>9139289</v>
      </c>
      <c r="M23" s="24">
        <v>7196632</v>
      </c>
      <c r="N23" s="24">
        <v>7182546</v>
      </c>
      <c r="O23" s="24">
        <v>582009</v>
      </c>
    </row>
    <row r="24" spans="1:15">
      <c r="A24">
        <v>23</v>
      </c>
      <c r="B24" s="20" t="s">
        <v>222</v>
      </c>
      <c r="C24" s="20"/>
      <c r="D24" s="20" t="s">
        <v>224</v>
      </c>
      <c r="E24" s="26" t="s">
        <v>196</v>
      </c>
      <c r="F24" s="20" t="s">
        <v>195</v>
      </c>
      <c r="G24" s="26" t="s">
        <v>191</v>
      </c>
      <c r="H24" s="34">
        <v>44825</v>
      </c>
      <c r="I24" s="27" t="s">
        <v>187</v>
      </c>
      <c r="J24" s="23" t="s">
        <v>188</v>
      </c>
      <c r="K24" s="27">
        <v>4</v>
      </c>
      <c r="L24" s="24">
        <v>9070553</v>
      </c>
      <c r="M24" s="24">
        <v>1424660</v>
      </c>
      <c r="N24" s="24">
        <v>3475906</v>
      </c>
      <c r="O24" s="24">
        <v>4877859</v>
      </c>
    </row>
    <row r="25" spans="1:15">
      <c r="A25">
        <v>24</v>
      </c>
      <c r="B25" s="20" t="s">
        <v>222</v>
      </c>
      <c r="C25" s="20"/>
      <c r="D25" s="20" t="s">
        <v>225</v>
      </c>
      <c r="E25" s="26" t="s">
        <v>196</v>
      </c>
      <c r="F25" s="20" t="s">
        <v>195</v>
      </c>
      <c r="G25" s="26" t="s">
        <v>201</v>
      </c>
      <c r="H25" s="34">
        <v>44825</v>
      </c>
      <c r="I25" s="26" t="s">
        <v>198</v>
      </c>
      <c r="J25" s="23" t="s">
        <v>188</v>
      </c>
      <c r="K25" s="26">
        <v>5</v>
      </c>
      <c r="L25" s="24">
        <v>9273217</v>
      </c>
      <c r="M25" s="24">
        <v>9616033</v>
      </c>
      <c r="N25" s="24">
        <v>2761923</v>
      </c>
      <c r="O25" s="24">
        <v>8667644</v>
      </c>
    </row>
    <row r="26" spans="1:15">
      <c r="A26">
        <v>25</v>
      </c>
      <c r="B26" s="21" t="s">
        <v>226</v>
      </c>
      <c r="C26" s="21"/>
      <c r="D26" s="20" t="s">
        <v>227</v>
      </c>
      <c r="E26" s="20" t="s">
        <v>228</v>
      </c>
      <c r="F26" s="20" t="s">
        <v>195</v>
      </c>
      <c r="G26" s="26" t="s">
        <v>201</v>
      </c>
      <c r="H26" s="34">
        <v>36805</v>
      </c>
      <c r="I26" s="27" t="s">
        <v>187</v>
      </c>
      <c r="J26" s="23" t="s">
        <v>188</v>
      </c>
      <c r="K26" s="27">
        <v>4</v>
      </c>
      <c r="L26" s="24">
        <v>4429953</v>
      </c>
      <c r="M26" s="24">
        <v>7789239</v>
      </c>
      <c r="N26" s="24">
        <v>9158864</v>
      </c>
      <c r="O26" s="24">
        <v>4074846</v>
      </c>
    </row>
    <row r="27" spans="1:15">
      <c r="A27">
        <v>26</v>
      </c>
      <c r="B27" s="21" t="s">
        <v>229</v>
      </c>
      <c r="C27" s="21"/>
      <c r="D27" s="20" t="s">
        <v>230</v>
      </c>
      <c r="E27" s="20" t="s">
        <v>228</v>
      </c>
      <c r="F27" s="20" t="s">
        <v>197</v>
      </c>
      <c r="G27" s="26" t="s">
        <v>191</v>
      </c>
      <c r="H27" s="34">
        <v>36805</v>
      </c>
      <c r="I27" s="26" t="s">
        <v>231</v>
      </c>
      <c r="J27" s="23" t="s">
        <v>188</v>
      </c>
      <c r="K27" s="26">
        <v>1</v>
      </c>
      <c r="L27" s="24">
        <v>0</v>
      </c>
      <c r="M27" s="24"/>
      <c r="N27" s="24"/>
      <c r="O27" s="24"/>
    </row>
    <row r="28" spans="1:15">
      <c r="A28">
        <v>27</v>
      </c>
      <c r="B28" s="35" t="s">
        <v>232</v>
      </c>
      <c r="C28" s="35"/>
      <c r="D28" s="20" t="s">
        <v>204</v>
      </c>
      <c r="E28" s="26" t="s">
        <v>196</v>
      </c>
      <c r="F28" s="20" t="s">
        <v>197</v>
      </c>
      <c r="G28" s="26" t="s">
        <v>191</v>
      </c>
      <c r="H28" s="34">
        <v>36805</v>
      </c>
      <c r="I28" s="26" t="s">
        <v>231</v>
      </c>
      <c r="J28" s="23" t="s">
        <v>188</v>
      </c>
      <c r="K28" s="26">
        <v>1</v>
      </c>
      <c r="L28" s="24">
        <v>0</v>
      </c>
      <c r="M28" s="24"/>
      <c r="N28" s="24"/>
      <c r="O28" s="24"/>
    </row>
    <row r="29" spans="1:15">
      <c r="A29">
        <v>28</v>
      </c>
      <c r="B29" s="35" t="s">
        <v>233</v>
      </c>
      <c r="C29" s="35"/>
      <c r="D29" s="20" t="s">
        <v>18</v>
      </c>
      <c r="E29" s="26"/>
      <c r="F29" s="20" t="s">
        <v>258</v>
      </c>
      <c r="G29" s="26" t="s">
        <v>191</v>
      </c>
      <c r="H29" s="22">
        <v>44426</v>
      </c>
      <c r="I29" s="26" t="s">
        <v>231</v>
      </c>
      <c r="J29" s="23" t="s">
        <v>188</v>
      </c>
      <c r="K29" s="26">
        <v>5</v>
      </c>
      <c r="L29" s="24">
        <v>1910259</v>
      </c>
      <c r="M29" s="24">
        <v>7381435</v>
      </c>
      <c r="N29" s="24">
        <v>9278507</v>
      </c>
      <c r="O29" s="24">
        <v>2817689</v>
      </c>
    </row>
    <row r="30" spans="1:15">
      <c r="A30">
        <v>29</v>
      </c>
      <c r="B30" s="20" t="s">
        <v>226</v>
      </c>
      <c r="C30" s="20"/>
      <c r="D30" s="20" t="s">
        <v>227</v>
      </c>
      <c r="E30" s="20" t="s">
        <v>228</v>
      </c>
      <c r="F30" s="20" t="s">
        <v>197</v>
      </c>
      <c r="G30" s="26" t="s">
        <v>191</v>
      </c>
      <c r="H30" s="22">
        <v>44426</v>
      </c>
      <c r="I30" s="26" t="s">
        <v>231</v>
      </c>
      <c r="J30" s="23" t="s">
        <v>188</v>
      </c>
      <c r="K30" s="26">
        <v>4</v>
      </c>
      <c r="L30" s="24">
        <v>3773964</v>
      </c>
      <c r="M30" s="24">
        <v>6419065</v>
      </c>
      <c r="N30" s="24">
        <v>8431588</v>
      </c>
      <c r="O30" s="24">
        <v>2442326</v>
      </c>
    </row>
    <row r="31" spans="1:15">
      <c r="A31">
        <v>30</v>
      </c>
      <c r="B31" s="20" t="s">
        <v>226</v>
      </c>
      <c r="C31" s="20"/>
      <c r="D31" s="20" t="s">
        <v>230</v>
      </c>
      <c r="E31" s="20" t="s">
        <v>228</v>
      </c>
      <c r="F31" s="20" t="s">
        <v>197</v>
      </c>
      <c r="G31" s="26" t="s">
        <v>201</v>
      </c>
      <c r="H31" s="22">
        <v>44426</v>
      </c>
      <c r="I31" s="30" t="s">
        <v>255</v>
      </c>
      <c r="J31" s="23" t="s">
        <v>188</v>
      </c>
      <c r="K31" s="27">
        <v>5</v>
      </c>
      <c r="L31" s="24">
        <v>7265864</v>
      </c>
      <c r="M31" s="24">
        <v>6205995</v>
      </c>
      <c r="N31" s="24">
        <v>9407907</v>
      </c>
      <c r="O31" s="24">
        <v>491415</v>
      </c>
    </row>
    <row r="32" spans="1:15">
      <c r="A32">
        <v>31</v>
      </c>
      <c r="B32" s="20" t="s">
        <v>234</v>
      </c>
      <c r="C32" s="20"/>
      <c r="D32" s="20" t="s">
        <v>204</v>
      </c>
      <c r="E32" s="26" t="s">
        <v>196</v>
      </c>
      <c r="F32" s="20" t="s">
        <v>211</v>
      </c>
      <c r="G32" s="26" t="s">
        <v>191</v>
      </c>
      <c r="H32" s="22">
        <v>44428</v>
      </c>
      <c r="I32" s="27" t="s">
        <v>235</v>
      </c>
      <c r="J32" s="23" t="s">
        <v>188</v>
      </c>
      <c r="K32" s="27">
        <v>4</v>
      </c>
      <c r="L32" s="24">
        <v>410095</v>
      </c>
      <c r="M32" s="24">
        <v>4521677</v>
      </c>
      <c r="N32" s="24">
        <v>432405</v>
      </c>
      <c r="O32" s="24">
        <v>1339909</v>
      </c>
    </row>
    <row r="33" spans="1:15">
      <c r="A33">
        <v>32</v>
      </c>
      <c r="B33" s="25" t="s">
        <v>192</v>
      </c>
      <c r="C33" s="25"/>
      <c r="D33" s="20" t="s">
        <v>236</v>
      </c>
      <c r="E33" s="26" t="s">
        <v>196</v>
      </c>
      <c r="F33" s="20" t="s">
        <v>237</v>
      </c>
      <c r="G33" s="26" t="s">
        <v>191</v>
      </c>
      <c r="H33" s="22">
        <v>44428</v>
      </c>
      <c r="I33" s="27" t="s">
        <v>235</v>
      </c>
      <c r="J33" s="23" t="s">
        <v>188</v>
      </c>
      <c r="K33" s="27">
        <v>5</v>
      </c>
      <c r="L33" s="24">
        <v>4408770</v>
      </c>
      <c r="M33" s="24">
        <v>9601407</v>
      </c>
      <c r="N33" s="24">
        <v>2175653</v>
      </c>
      <c r="O33" s="24">
        <v>7057290</v>
      </c>
    </row>
    <row r="34" spans="1:15">
      <c r="A34">
        <v>33</v>
      </c>
      <c r="B34" s="25" t="s">
        <v>192</v>
      </c>
      <c r="C34" s="25"/>
      <c r="D34" s="20" t="s">
        <v>18</v>
      </c>
      <c r="E34" s="26" t="s">
        <v>196</v>
      </c>
      <c r="F34" s="20" t="s">
        <v>237</v>
      </c>
      <c r="G34" s="26" t="s">
        <v>191</v>
      </c>
      <c r="H34" s="22">
        <v>44428</v>
      </c>
      <c r="I34" s="27" t="s">
        <v>235</v>
      </c>
      <c r="J34" s="23" t="s">
        <v>188</v>
      </c>
      <c r="K34" s="27">
        <v>4</v>
      </c>
      <c r="L34" s="24">
        <v>2054548</v>
      </c>
      <c r="M34" s="24">
        <v>4041108</v>
      </c>
      <c r="N34" s="24">
        <v>5494229</v>
      </c>
      <c r="O34" s="24">
        <v>2280876</v>
      </c>
    </row>
    <row r="35" spans="1:15">
      <c r="A35">
        <v>34</v>
      </c>
      <c r="B35" s="20" t="s">
        <v>238</v>
      </c>
      <c r="C35" s="20"/>
      <c r="D35" s="20" t="s">
        <v>236</v>
      </c>
      <c r="E35" s="26" t="s">
        <v>196</v>
      </c>
      <c r="F35" s="20" t="s">
        <v>211</v>
      </c>
      <c r="G35" s="26" t="s">
        <v>191</v>
      </c>
      <c r="H35" s="22">
        <v>41940</v>
      </c>
      <c r="I35" s="27" t="s">
        <v>235</v>
      </c>
      <c r="J35" s="23" t="s">
        <v>188</v>
      </c>
      <c r="K35" s="27">
        <v>5</v>
      </c>
      <c r="L35" s="24">
        <v>31343</v>
      </c>
      <c r="M35" s="24">
        <v>443402</v>
      </c>
      <c r="N35" s="24">
        <v>7863497</v>
      </c>
      <c r="O35" s="24">
        <v>9350284</v>
      </c>
    </row>
    <row r="36" spans="1:15">
      <c r="A36">
        <v>35</v>
      </c>
      <c r="B36" s="20" t="s">
        <v>238</v>
      </c>
      <c r="C36" s="20"/>
      <c r="D36" s="20" t="s">
        <v>18</v>
      </c>
      <c r="E36" s="26" t="s">
        <v>196</v>
      </c>
      <c r="F36" s="20" t="s">
        <v>211</v>
      </c>
      <c r="G36" s="26" t="s">
        <v>191</v>
      </c>
      <c r="H36" s="22">
        <v>43698</v>
      </c>
      <c r="I36" s="27" t="s">
        <v>187</v>
      </c>
      <c r="J36" s="23" t="s">
        <v>188</v>
      </c>
      <c r="K36" s="27">
        <v>4</v>
      </c>
      <c r="L36" s="24">
        <v>7004726</v>
      </c>
      <c r="M36" s="24">
        <v>1569173</v>
      </c>
      <c r="N36" s="24">
        <v>5862204</v>
      </c>
      <c r="O36" s="24">
        <v>4397940</v>
      </c>
    </row>
    <row r="37" spans="1:15">
      <c r="A37">
        <v>36</v>
      </c>
      <c r="B37" s="20" t="s">
        <v>216</v>
      </c>
      <c r="C37" s="20"/>
      <c r="D37" s="20" t="s">
        <v>217</v>
      </c>
      <c r="E37" s="26" t="s">
        <v>239</v>
      </c>
      <c r="F37" s="20" t="s">
        <v>211</v>
      </c>
      <c r="G37" s="26" t="s">
        <v>191</v>
      </c>
      <c r="H37" s="36" t="s">
        <v>240</v>
      </c>
      <c r="I37" s="27" t="s">
        <v>187</v>
      </c>
      <c r="J37" s="23" t="s">
        <v>188</v>
      </c>
      <c r="K37" s="27">
        <v>1</v>
      </c>
      <c r="L37" s="24"/>
      <c r="M37" s="24"/>
      <c r="N37" s="24"/>
      <c r="O37" s="24"/>
    </row>
    <row r="38" spans="1:15">
      <c r="A38">
        <v>37</v>
      </c>
      <c r="B38" s="20" t="s">
        <v>241</v>
      </c>
      <c r="C38" s="20"/>
      <c r="D38" s="20" t="s">
        <v>214</v>
      </c>
      <c r="E38" s="26" t="s">
        <v>196</v>
      </c>
      <c r="F38" s="20" t="s">
        <v>211</v>
      </c>
      <c r="G38" s="26" t="s">
        <v>191</v>
      </c>
      <c r="H38" s="22">
        <v>43698</v>
      </c>
      <c r="I38" s="26" t="s">
        <v>242</v>
      </c>
      <c r="J38" s="23" t="s">
        <v>188</v>
      </c>
      <c r="K38" s="26">
        <v>5</v>
      </c>
      <c r="L38" s="24">
        <v>975613</v>
      </c>
      <c r="M38" s="24">
        <v>1984053</v>
      </c>
      <c r="N38" s="24">
        <v>7724370</v>
      </c>
      <c r="O38" s="24">
        <v>1779984</v>
      </c>
    </row>
    <row r="39" spans="1:15">
      <c r="A39">
        <v>38</v>
      </c>
      <c r="B39" s="20" t="s">
        <v>243</v>
      </c>
      <c r="C39" s="20"/>
      <c r="D39" s="20" t="s">
        <v>209</v>
      </c>
      <c r="E39" s="26" t="s">
        <v>196</v>
      </c>
      <c r="F39" s="20" t="s">
        <v>211</v>
      </c>
      <c r="G39" s="20" t="s">
        <v>191</v>
      </c>
      <c r="H39" s="22">
        <v>41940</v>
      </c>
      <c r="I39" s="20" t="s">
        <v>242</v>
      </c>
      <c r="J39" s="23" t="s">
        <v>188</v>
      </c>
      <c r="K39" s="20">
        <v>4</v>
      </c>
      <c r="L39" s="24">
        <v>5325856</v>
      </c>
      <c r="M39" s="24">
        <v>3566965</v>
      </c>
      <c r="N39" s="24">
        <v>9863577</v>
      </c>
      <c r="O39" s="24">
        <v>8819083</v>
      </c>
    </row>
    <row r="40" spans="1:15">
      <c r="A40">
        <v>39</v>
      </c>
      <c r="B40" s="20" t="s">
        <v>244</v>
      </c>
      <c r="C40" s="20"/>
      <c r="D40" s="20" t="s">
        <v>245</v>
      </c>
      <c r="E40" s="20" t="s">
        <v>228</v>
      </c>
      <c r="F40" s="20" t="s">
        <v>197</v>
      </c>
      <c r="G40" s="20" t="s">
        <v>191</v>
      </c>
      <c r="H40" s="22">
        <v>43696</v>
      </c>
      <c r="I40" s="20" t="s">
        <v>242</v>
      </c>
      <c r="J40" s="23" t="s">
        <v>188</v>
      </c>
      <c r="K40" s="20">
        <v>4</v>
      </c>
      <c r="L40" s="24">
        <v>2079959</v>
      </c>
      <c r="M40" s="24">
        <v>9152406</v>
      </c>
      <c r="N40" s="24">
        <v>1581792</v>
      </c>
      <c r="O40" s="24">
        <v>9845113</v>
      </c>
    </row>
    <row r="41" spans="1:15">
      <c r="A41">
        <v>40</v>
      </c>
      <c r="B41" s="20" t="s">
        <v>246</v>
      </c>
      <c r="C41" s="20"/>
      <c r="D41" s="20" t="s">
        <v>259</v>
      </c>
      <c r="E41" s="20" t="s">
        <v>248</v>
      </c>
      <c r="F41" s="20" t="s">
        <v>197</v>
      </c>
      <c r="G41" s="20" t="s">
        <v>191</v>
      </c>
      <c r="H41" s="22">
        <v>43696</v>
      </c>
      <c r="I41" s="20" t="s">
        <v>242</v>
      </c>
      <c r="J41" s="23" t="s">
        <v>188</v>
      </c>
      <c r="K41" s="20">
        <v>5</v>
      </c>
      <c r="L41" s="24">
        <v>3130871</v>
      </c>
      <c r="M41" s="24">
        <v>8980327</v>
      </c>
      <c r="N41" s="24">
        <v>6916804</v>
      </c>
      <c r="O41" s="24">
        <v>3886148</v>
      </c>
    </row>
    <row r="42" spans="1:15">
      <c r="A42">
        <v>41</v>
      </c>
      <c r="B42" s="20" t="s">
        <v>246</v>
      </c>
      <c r="C42" s="20"/>
      <c r="D42" s="20" t="s">
        <v>260</v>
      </c>
      <c r="E42" s="20" t="s">
        <v>248</v>
      </c>
      <c r="F42" s="20" t="s">
        <v>197</v>
      </c>
      <c r="G42" s="20" t="s">
        <v>191</v>
      </c>
      <c r="H42" s="22">
        <v>43696</v>
      </c>
      <c r="I42" s="20" t="s">
        <v>242</v>
      </c>
      <c r="J42" s="23" t="s">
        <v>188</v>
      </c>
      <c r="K42" s="20">
        <v>4</v>
      </c>
      <c r="L42" s="24">
        <v>2110795</v>
      </c>
      <c r="M42" s="24">
        <v>9857372</v>
      </c>
      <c r="N42" s="24">
        <v>9389873</v>
      </c>
      <c r="O42" s="24">
        <v>3141150</v>
      </c>
    </row>
    <row r="43" spans="1:15">
      <c r="A43">
        <v>42</v>
      </c>
      <c r="B43" s="20" t="s">
        <v>250</v>
      </c>
      <c r="C43" s="20"/>
      <c r="D43" s="20" t="s">
        <v>251</v>
      </c>
      <c r="E43" s="26" t="s">
        <v>196</v>
      </c>
      <c r="F43" s="20" t="s">
        <v>211</v>
      </c>
      <c r="G43" s="20" t="s">
        <v>191</v>
      </c>
      <c r="H43" s="22">
        <v>44740</v>
      </c>
      <c r="I43" s="20" t="s">
        <v>242</v>
      </c>
      <c r="J43" s="23" t="s">
        <v>188</v>
      </c>
      <c r="K43" s="20">
        <v>1</v>
      </c>
      <c r="L43" s="24"/>
      <c r="M43" s="24"/>
      <c r="N43" s="24"/>
      <c r="O43" s="24"/>
    </row>
    <row r="44" spans="1:15">
      <c r="A44">
        <v>43</v>
      </c>
      <c r="B44" s="20" t="s">
        <v>250</v>
      </c>
      <c r="C44" s="20"/>
      <c r="D44" s="20" t="s">
        <v>252</v>
      </c>
      <c r="E44" s="26" t="s">
        <v>194</v>
      </c>
      <c r="F44" s="20" t="s">
        <v>211</v>
      </c>
      <c r="G44" s="20" t="s">
        <v>191</v>
      </c>
      <c r="H44" s="31">
        <v>45980</v>
      </c>
      <c r="I44" s="20" t="s">
        <v>242</v>
      </c>
      <c r="J44" s="23" t="s">
        <v>188</v>
      </c>
      <c r="K44" s="20">
        <v>1</v>
      </c>
      <c r="L44" s="24"/>
      <c r="M44" s="24"/>
      <c r="N44" s="24"/>
      <c r="O44" s="24"/>
    </row>
  </sheetData>
  <autoFilter ref="A1:O44" xr:uid="{0AA37420-0427-43B3-A267-CC9132BC30F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060E-A11F-4862-AFF5-7E8CA814CF46}">
  <dimension ref="A1:M17"/>
  <sheetViews>
    <sheetView workbookViewId="0">
      <selection activeCell="B15" sqref="B15"/>
    </sheetView>
  </sheetViews>
  <sheetFormatPr defaultColWidth="8.7265625" defaultRowHeight="12.5"/>
  <cols>
    <col min="1" max="1" width="9" style="79" customWidth="1"/>
    <col min="2" max="2" width="12.7265625" style="79" customWidth="1"/>
    <col min="3" max="3" width="23.453125" style="79" customWidth="1"/>
    <col min="4" max="4" width="17.453125" style="79" customWidth="1"/>
    <col min="5" max="5" width="19.453125" style="79" customWidth="1"/>
    <col min="6" max="6" width="21" style="79" customWidth="1"/>
    <col min="7" max="8" width="10.81640625" style="79" customWidth="1"/>
    <col min="9" max="10" width="8.7265625" style="79"/>
    <col min="11" max="11" width="9.81640625" style="79" bestFit="1" customWidth="1"/>
    <col min="12" max="13" width="11.26953125" style="79" bestFit="1" customWidth="1"/>
    <col min="14" max="16384" width="8.7265625" style="79"/>
  </cols>
  <sheetData>
    <row r="1" spans="1:13" ht="23.25" customHeight="1">
      <c r="A1" s="78" t="s">
        <v>261</v>
      </c>
      <c r="B1" s="78"/>
    </row>
    <row r="2" spans="1:13" ht="25.5" customHeight="1"/>
    <row r="3" spans="1:13" s="80" customFormat="1" ht="27" customHeight="1">
      <c r="B3" s="81" t="s">
        <v>71</v>
      </c>
      <c r="C3" s="81" t="s">
        <v>3</v>
      </c>
      <c r="D3" s="81" t="s">
        <v>72</v>
      </c>
      <c r="E3" s="81" t="s">
        <v>73</v>
      </c>
      <c r="F3" s="81" t="s">
        <v>74</v>
      </c>
      <c r="G3" s="81" t="s">
        <v>262</v>
      </c>
      <c r="H3" s="81" t="s">
        <v>263</v>
      </c>
      <c r="L3" s="81" t="s">
        <v>73</v>
      </c>
      <c r="M3" s="81"/>
    </row>
    <row r="4" spans="1:13" ht="17">
      <c r="B4" s="82">
        <v>2456</v>
      </c>
      <c r="C4" s="82" t="s">
        <v>75</v>
      </c>
      <c r="D4" s="82" t="s">
        <v>76</v>
      </c>
      <c r="E4" s="83">
        <v>41248</v>
      </c>
      <c r="F4" s="82" t="s">
        <v>77</v>
      </c>
      <c r="G4" s="84">
        <f>COUNTIF($D$4:$D$12,D4)</f>
        <v>3</v>
      </c>
      <c r="H4" s="84">
        <f>COUNTIFS($D$4:$D$12,D4,$F$4:$F$12,F4)</f>
        <v>2</v>
      </c>
      <c r="I4" s="79">
        <f>COUNTIF($C$4:$C$12,C6)</f>
        <v>1</v>
      </c>
      <c r="J4" s="79">
        <f>COUNTIFS($C$4:$C$12,C4,$D$4:$D$12,D4)</f>
        <v>2</v>
      </c>
      <c r="L4" s="85"/>
      <c r="M4" s="85"/>
    </row>
    <row r="5" spans="1:13" ht="17">
      <c r="B5" s="82">
        <v>3452</v>
      </c>
      <c r="C5" s="82" t="s">
        <v>80</v>
      </c>
      <c r="D5" s="82" t="s">
        <v>78</v>
      </c>
      <c r="E5" s="83">
        <v>41186</v>
      </c>
      <c r="F5" s="82" t="s">
        <v>77</v>
      </c>
      <c r="G5" s="84">
        <f t="shared" ref="G5:G12" si="0">COUNTIF($D$4:$D$12,D5)</f>
        <v>4</v>
      </c>
      <c r="H5" s="84">
        <f t="shared" ref="H5:H12" si="1">COUNTIFS($D$4:$D$12,D5,$F$4:$F$12,F5)</f>
        <v>2</v>
      </c>
      <c r="I5" s="79">
        <f t="shared" ref="I5:I12" si="2">COUNTIF($C$4:$C$12,C7)</f>
        <v>1</v>
      </c>
      <c r="J5" s="79">
        <f t="shared" ref="J5:J12" si="3">COUNTIFS($C$4:$C$12,C5,$D$4:$D$12,D5)</f>
        <v>3</v>
      </c>
      <c r="L5" s="85"/>
      <c r="M5" s="85"/>
    </row>
    <row r="6" spans="1:13" ht="17">
      <c r="B6" s="82">
        <v>4521</v>
      </c>
      <c r="C6" s="82" t="s">
        <v>81</v>
      </c>
      <c r="D6" s="82" t="s">
        <v>78</v>
      </c>
      <c r="E6" s="83">
        <v>41124</v>
      </c>
      <c r="F6" s="82" t="s">
        <v>82</v>
      </c>
      <c r="G6" s="84">
        <f t="shared" si="0"/>
        <v>4</v>
      </c>
      <c r="H6" s="84">
        <f t="shared" si="1"/>
        <v>1</v>
      </c>
      <c r="I6" s="79">
        <f t="shared" si="2"/>
        <v>3</v>
      </c>
      <c r="J6" s="79">
        <f t="shared" si="3"/>
        <v>1</v>
      </c>
    </row>
    <row r="7" spans="1:13" ht="17">
      <c r="B7" s="82">
        <v>2345</v>
      </c>
      <c r="C7" s="82" t="s">
        <v>83</v>
      </c>
      <c r="D7" s="82" t="s">
        <v>84</v>
      </c>
      <c r="E7" s="83">
        <v>41083</v>
      </c>
      <c r="F7" s="82" t="s">
        <v>77</v>
      </c>
      <c r="G7" s="84">
        <f t="shared" si="0"/>
        <v>2</v>
      </c>
      <c r="H7" s="84">
        <f t="shared" si="1"/>
        <v>1</v>
      </c>
      <c r="I7" s="79">
        <f t="shared" si="2"/>
        <v>2</v>
      </c>
      <c r="J7" s="79">
        <f t="shared" si="3"/>
        <v>1</v>
      </c>
    </row>
    <row r="8" spans="1:13" ht="17">
      <c r="B8" s="82">
        <v>8735</v>
      </c>
      <c r="C8" s="82" t="s">
        <v>80</v>
      </c>
      <c r="D8" s="82" t="s">
        <v>78</v>
      </c>
      <c r="E8" s="83">
        <v>41213</v>
      </c>
      <c r="F8" s="82" t="s">
        <v>77</v>
      </c>
      <c r="G8" s="84">
        <f t="shared" si="0"/>
        <v>4</v>
      </c>
      <c r="H8" s="84">
        <f t="shared" si="1"/>
        <v>2</v>
      </c>
      <c r="I8" s="79">
        <f t="shared" si="2"/>
        <v>3</v>
      </c>
      <c r="J8" s="79">
        <f t="shared" si="3"/>
        <v>3</v>
      </c>
    </row>
    <row r="9" spans="1:13" ht="17">
      <c r="B9" s="82">
        <v>6723</v>
      </c>
      <c r="C9" s="82" t="s">
        <v>264</v>
      </c>
      <c r="D9" s="82" t="s">
        <v>76</v>
      </c>
      <c r="E9" s="83">
        <v>41180</v>
      </c>
      <c r="F9" s="82" t="s">
        <v>82</v>
      </c>
      <c r="G9" s="84">
        <f t="shared" si="0"/>
        <v>3</v>
      </c>
      <c r="H9" s="84">
        <f t="shared" si="1"/>
        <v>1</v>
      </c>
      <c r="I9" s="79">
        <f t="shared" si="2"/>
        <v>1</v>
      </c>
      <c r="J9" s="79">
        <f t="shared" si="3"/>
        <v>2</v>
      </c>
    </row>
    <row r="10" spans="1:13" ht="17">
      <c r="B10" s="82">
        <v>3452</v>
      </c>
      <c r="C10" s="82" t="s">
        <v>80</v>
      </c>
      <c r="D10" s="82" t="s">
        <v>78</v>
      </c>
      <c r="E10" s="83">
        <v>41188</v>
      </c>
      <c r="F10" s="82"/>
      <c r="G10" s="84">
        <f>COUNTIF($D$4:$D$12,D10)</f>
        <v>4</v>
      </c>
      <c r="H10" s="84">
        <f t="shared" si="1"/>
        <v>0</v>
      </c>
      <c r="I10" s="79">
        <f t="shared" si="2"/>
        <v>1</v>
      </c>
      <c r="J10" s="79">
        <f t="shared" si="3"/>
        <v>3</v>
      </c>
    </row>
    <row r="11" spans="1:13" ht="17">
      <c r="B11" s="82">
        <v>3451</v>
      </c>
      <c r="C11" s="82" t="s">
        <v>87</v>
      </c>
      <c r="D11" s="82" t="s">
        <v>76</v>
      </c>
      <c r="E11" s="83">
        <v>41047</v>
      </c>
      <c r="F11" s="82" t="s">
        <v>77</v>
      </c>
      <c r="G11" s="84">
        <f>COUNTIF($D$4:$D$12,D11)</f>
        <v>3</v>
      </c>
      <c r="H11" s="84">
        <f t="shared" si="1"/>
        <v>2</v>
      </c>
      <c r="I11" s="79">
        <f t="shared" si="2"/>
        <v>0</v>
      </c>
      <c r="J11" s="79">
        <f t="shared" si="3"/>
        <v>1</v>
      </c>
    </row>
    <row r="12" spans="1:13" ht="17">
      <c r="B12" s="82">
        <v>9801</v>
      </c>
      <c r="C12" s="82" t="s">
        <v>88</v>
      </c>
      <c r="D12" s="82" t="s">
        <v>84</v>
      </c>
      <c r="E12" s="83">
        <v>40983</v>
      </c>
      <c r="F12" s="82" t="s">
        <v>89</v>
      </c>
      <c r="G12" s="84">
        <f t="shared" si="0"/>
        <v>2</v>
      </c>
      <c r="H12" s="84">
        <f t="shared" si="1"/>
        <v>1</v>
      </c>
      <c r="I12" s="79">
        <f t="shared" si="2"/>
        <v>0</v>
      </c>
      <c r="J12" s="79">
        <f t="shared" si="3"/>
        <v>1</v>
      </c>
    </row>
    <row r="13" spans="1:13" ht="18.75" customHeight="1">
      <c r="A13" s="86" t="s">
        <v>265</v>
      </c>
      <c r="B13" s="84">
        <f>COUNT(B4:B12)</f>
        <v>9</v>
      </c>
      <c r="C13" s="84">
        <f>COUNTA(C4:C12)</f>
        <v>9</v>
      </c>
      <c r="D13" s="84">
        <f t="shared" ref="D13:E13" si="4">COUNTA(D4:D12)</f>
        <v>9</v>
      </c>
      <c r="E13" s="84">
        <f t="shared" si="4"/>
        <v>9</v>
      </c>
      <c r="F13" s="84">
        <f>COUNTBLANK(F4:F12)</f>
        <v>1</v>
      </c>
      <c r="G13" s="87"/>
      <c r="H13" s="87"/>
    </row>
    <row r="14" spans="1:13" ht="18" customHeight="1">
      <c r="C14" s="88" t="s">
        <v>266</v>
      </c>
      <c r="F14" s="88" t="s">
        <v>267</v>
      </c>
    </row>
    <row r="15" spans="1:13" ht="20.25" customHeight="1"/>
    <row r="16" spans="1:13" ht="18" customHeight="1"/>
    <row r="17" ht="18" customHeight="1"/>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2264-73D5-4679-AAC2-20F728803B37}">
  <dimension ref="A1:L13"/>
  <sheetViews>
    <sheetView showGridLines="0" zoomScale="110" zoomScaleNormal="110" workbookViewId="0">
      <selection activeCell="F5" sqref="F5"/>
    </sheetView>
  </sheetViews>
  <sheetFormatPr defaultColWidth="8.7265625" defaultRowHeight="12.5"/>
  <cols>
    <col min="1" max="1" width="15.54296875" style="79" customWidth="1"/>
    <col min="2" max="2" width="11.26953125" style="79" customWidth="1"/>
    <col min="3" max="3" width="11.54296875" style="79" customWidth="1"/>
    <col min="4" max="4" width="11.81640625" style="79" customWidth="1"/>
    <col min="5" max="5" width="11.7265625" style="79" bestFit="1" customWidth="1"/>
    <col min="6" max="6" width="11.26953125" style="79" customWidth="1"/>
    <col min="7" max="7" width="1.1796875" style="79" customWidth="1"/>
    <col min="8" max="8" width="20.1796875" style="79" customWidth="1"/>
    <col min="9" max="9" width="15.81640625" style="79" customWidth="1"/>
    <col min="10" max="16384" width="8.7265625" style="79"/>
  </cols>
  <sheetData>
    <row r="1" spans="1:12" ht="17">
      <c r="A1" s="78" t="s">
        <v>268</v>
      </c>
      <c r="B1" s="89"/>
      <c r="C1" s="89"/>
      <c r="D1" s="89"/>
      <c r="E1" s="89"/>
      <c r="F1" s="89"/>
      <c r="G1" s="89"/>
      <c r="H1" s="89"/>
      <c r="I1" s="89"/>
      <c r="J1" s="90"/>
      <c r="K1" s="90"/>
      <c r="L1" s="90"/>
    </row>
    <row r="2" spans="1:12" ht="17.5" thickBot="1">
      <c r="A2" s="91"/>
      <c r="B2" s="89"/>
      <c r="C2" s="89"/>
      <c r="D2" s="89"/>
      <c r="E2" s="89"/>
      <c r="F2" s="89"/>
      <c r="G2" s="89"/>
      <c r="H2" s="89"/>
      <c r="I2" s="89"/>
      <c r="J2" s="90"/>
      <c r="K2" s="90"/>
      <c r="L2" s="90"/>
    </row>
    <row r="3" spans="1:12" ht="16" thickBot="1">
      <c r="A3" s="266" t="s">
        <v>269</v>
      </c>
      <c r="B3" s="266"/>
      <c r="C3" s="266"/>
      <c r="D3" s="266"/>
      <c r="E3" s="266"/>
      <c r="F3" s="266"/>
      <c r="G3" s="89"/>
      <c r="H3" s="92" t="s">
        <v>270</v>
      </c>
      <c r="I3" s="93">
        <v>34000</v>
      </c>
      <c r="J3" s="90"/>
      <c r="K3" s="90"/>
      <c r="L3" s="90"/>
    </row>
    <row r="4" spans="1:12" ht="16.5" thickTop="1" thickBot="1">
      <c r="A4" s="89"/>
      <c r="B4" s="89"/>
      <c r="C4" s="89"/>
      <c r="D4" s="89"/>
      <c r="E4" s="89"/>
      <c r="F4" s="89"/>
      <c r="G4" s="89"/>
      <c r="H4" s="89"/>
      <c r="I4" s="89"/>
      <c r="J4" s="90"/>
      <c r="K4" s="90"/>
      <c r="L4" s="90"/>
    </row>
    <row r="5" spans="1:12" ht="19.5" customHeight="1">
      <c r="A5" s="94" t="s">
        <v>271</v>
      </c>
      <c r="B5" s="95" t="s">
        <v>272</v>
      </c>
      <c r="C5" s="95" t="s">
        <v>273</v>
      </c>
      <c r="D5" s="95" t="s">
        <v>274</v>
      </c>
      <c r="E5" s="95" t="s">
        <v>275</v>
      </c>
      <c r="F5" s="96" t="s">
        <v>276</v>
      </c>
      <c r="G5" s="89"/>
      <c r="H5" s="97" t="s">
        <v>277</v>
      </c>
      <c r="I5" s="97" t="s">
        <v>278</v>
      </c>
      <c r="J5" s="90"/>
      <c r="K5" s="90"/>
      <c r="L5" s="90"/>
    </row>
    <row r="6" spans="1:12" ht="19.5" customHeight="1">
      <c r="A6" s="98" t="s">
        <v>279</v>
      </c>
      <c r="B6" s="99">
        <v>9550</v>
      </c>
      <c r="C6" s="99">
        <v>9230</v>
      </c>
      <c r="D6" s="99">
        <v>8500</v>
      </c>
      <c r="E6" s="99">
        <v>8965</v>
      </c>
      <c r="F6" s="100">
        <f>SUM(B6:E6)</f>
        <v>36245</v>
      </c>
      <c r="G6" s="89"/>
      <c r="H6" s="101" t="str">
        <f>IF(F6&gt;$I$3, "Yes","No")</f>
        <v>Yes</v>
      </c>
      <c r="I6" s="102" t="str" cm="1">
        <f t="array" ref="I6">IF(AND(H6="Yes",B6:E6&gt;8000),"Applicable","Not Applicable")</f>
        <v>Applicable</v>
      </c>
      <c r="J6" s="267" t="s">
        <v>280</v>
      </c>
      <c r="K6" s="268"/>
      <c r="L6" s="268"/>
    </row>
    <row r="7" spans="1:12" ht="18" customHeight="1">
      <c r="A7" s="98" t="s">
        <v>281</v>
      </c>
      <c r="B7" s="99">
        <v>5975</v>
      </c>
      <c r="C7" s="99">
        <v>6900</v>
      </c>
      <c r="D7" s="99">
        <v>8500</v>
      </c>
      <c r="E7" s="99">
        <v>10100</v>
      </c>
      <c r="F7" s="100">
        <f>SUM(B7:E7)</f>
        <v>31475</v>
      </c>
      <c r="G7" s="89"/>
      <c r="H7" s="101" t="str">
        <f t="shared" ref="H7:H10" si="0">IF(F7&gt;$I$3, "Yes","No")</f>
        <v>No</v>
      </c>
      <c r="I7" s="102" t="str" cm="1">
        <f t="array" ref="I7">IF(AND(H7="Yes",B7:E7&gt;8000),"Applicable","Not Applicable")</f>
        <v>Not Applicable</v>
      </c>
      <c r="J7" s="267"/>
      <c r="K7" s="268"/>
      <c r="L7" s="268"/>
    </row>
    <row r="8" spans="1:12" ht="19.5" customHeight="1">
      <c r="A8" s="98" t="s">
        <v>282</v>
      </c>
      <c r="B8" s="99">
        <v>7425</v>
      </c>
      <c r="C8" s="99">
        <v>8580</v>
      </c>
      <c r="D8" s="99">
        <v>9910</v>
      </c>
      <c r="E8" s="99">
        <v>7512</v>
      </c>
      <c r="F8" s="100">
        <f>SUM(B8:E8)</f>
        <v>33427</v>
      </c>
      <c r="G8" s="89"/>
      <c r="H8" s="101" t="str">
        <f t="shared" si="0"/>
        <v>No</v>
      </c>
      <c r="I8" s="102" t="str" cm="1">
        <f t="array" ref="I8">IF(AND(H8="Yes",B8:E8&gt;8000),"Applicable","Not Applicable")</f>
        <v>Not Applicable</v>
      </c>
      <c r="J8" s="267"/>
      <c r="K8" s="268"/>
      <c r="L8" s="268"/>
    </row>
    <row r="9" spans="1:12" ht="18" customHeight="1">
      <c r="A9" s="98" t="s">
        <v>283</v>
      </c>
      <c r="B9" s="99">
        <v>9560</v>
      </c>
      <c r="C9" s="99">
        <v>10150</v>
      </c>
      <c r="D9" s="99">
        <v>10200</v>
      </c>
      <c r="E9" s="99">
        <v>9795</v>
      </c>
      <c r="F9" s="100">
        <f>SUM(B9:E9)</f>
        <v>39705</v>
      </c>
      <c r="G9" s="89"/>
      <c r="H9" s="101" t="str">
        <f t="shared" si="0"/>
        <v>Yes</v>
      </c>
      <c r="I9" s="102" t="str" cm="1">
        <f t="array" ref="I9">IF(AND(H9="Yes",B9:E9&gt;8000),"Applicable","Not Applicable")</f>
        <v>Applicable</v>
      </c>
      <c r="J9" s="103"/>
      <c r="K9" s="104"/>
      <c r="L9" s="104"/>
    </row>
    <row r="10" spans="1:12" ht="19.5" customHeight="1" thickBot="1">
      <c r="A10" s="105" t="s">
        <v>284</v>
      </c>
      <c r="B10" s="106">
        <v>7892</v>
      </c>
      <c r="C10" s="106">
        <v>7695</v>
      </c>
      <c r="D10" s="106">
        <v>9520</v>
      </c>
      <c r="E10" s="106">
        <v>10252</v>
      </c>
      <c r="F10" s="107">
        <f>SUM(B10:E10)</f>
        <v>35359</v>
      </c>
      <c r="G10" s="89"/>
      <c r="H10" s="101" t="str">
        <f t="shared" si="0"/>
        <v>Yes</v>
      </c>
      <c r="I10" s="102" t="str" cm="1">
        <f t="array" ref="I10">IF(AND(H10="Yes",B10:E10&gt;8000),"Applicable","Not Applicable")</f>
        <v>Not Applicable</v>
      </c>
      <c r="J10" s="90"/>
      <c r="K10" s="90"/>
      <c r="L10" s="90"/>
    </row>
    <row r="11" spans="1:12" s="112" customFormat="1" ht="21" customHeight="1">
      <c r="A11" s="108" t="s">
        <v>285</v>
      </c>
      <c r="B11" s="109">
        <f>SUM(B6:B10)</f>
        <v>40402</v>
      </c>
      <c r="C11" s="109">
        <f t="shared" ref="C11:F11" si="1">SUM(C6:C10)</f>
        <v>42555</v>
      </c>
      <c r="D11" s="109">
        <f t="shared" si="1"/>
        <v>46630</v>
      </c>
      <c r="E11" s="109">
        <f t="shared" si="1"/>
        <v>46624</v>
      </c>
      <c r="F11" s="109">
        <f t="shared" si="1"/>
        <v>176211</v>
      </c>
      <c r="G11" s="110"/>
      <c r="H11" s="110"/>
      <c r="I11" s="110"/>
      <c r="J11" s="111"/>
      <c r="K11" s="111"/>
      <c r="L11" s="111"/>
    </row>
    <row r="12" spans="1:12" ht="15.5">
      <c r="A12" s="113"/>
      <c r="B12" s="89"/>
      <c r="C12" s="89"/>
      <c r="D12" s="89"/>
      <c r="E12" s="89"/>
      <c r="F12" s="89"/>
      <c r="G12" s="89"/>
      <c r="H12" s="89"/>
      <c r="I12" s="89"/>
      <c r="J12" s="90"/>
      <c r="K12" s="90"/>
      <c r="L12" s="90"/>
    </row>
    <row r="13" spans="1:12" ht="16.5" customHeight="1">
      <c r="A13" s="269" t="s">
        <v>286</v>
      </c>
      <c r="B13" s="270"/>
      <c r="C13" s="270"/>
      <c r="D13" s="270"/>
      <c r="E13" s="271"/>
      <c r="F13" s="114">
        <f>COUNTIF(H6:H10,H6)</f>
        <v>3</v>
      </c>
      <c r="G13" s="89"/>
      <c r="H13" s="89"/>
      <c r="I13" s="89"/>
      <c r="J13" s="90"/>
      <c r="K13" s="90"/>
      <c r="L13" s="90"/>
    </row>
  </sheetData>
  <mergeCells count="3">
    <mergeCell ref="A3:F3"/>
    <mergeCell ref="J6:L8"/>
    <mergeCell ref="A13:E13"/>
  </mergeCell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6DA7-BFA9-4E17-839A-EDF19127F4A6}">
  <dimension ref="A1:J274"/>
  <sheetViews>
    <sheetView zoomScaleNormal="100" workbookViewId="0">
      <selection activeCell="I5" sqref="I5"/>
    </sheetView>
  </sheetViews>
  <sheetFormatPr defaultColWidth="9.1796875" defaultRowHeight="12.5"/>
  <cols>
    <col min="1" max="1" width="6.81640625" style="115" customWidth="1"/>
    <col min="2" max="2" width="13.26953125" style="115" bestFit="1" customWidth="1"/>
    <col min="3" max="3" width="14.54296875" style="115" bestFit="1" customWidth="1"/>
    <col min="4" max="4" width="12" style="115" customWidth="1"/>
    <col min="5" max="5" width="12.54296875" style="115" bestFit="1" customWidth="1"/>
    <col min="6" max="6" width="12.1796875" style="115" bestFit="1" customWidth="1"/>
    <col min="7" max="7" width="9.1796875" style="115"/>
    <col min="8" max="8" width="13.7265625" style="115" customWidth="1"/>
    <col min="9" max="10" width="12.7265625" style="115" bestFit="1" customWidth="1"/>
    <col min="11" max="16384" width="9.1796875" style="115"/>
  </cols>
  <sheetData>
    <row r="1" spans="1:10" ht="17">
      <c r="A1" s="78" t="s">
        <v>287</v>
      </c>
      <c r="B1" s="78"/>
    </row>
    <row r="4" spans="1:10" ht="17">
      <c r="B4" s="116" t="s">
        <v>112</v>
      </c>
      <c r="C4" s="116" t="s">
        <v>288</v>
      </c>
      <c r="D4" s="116" t="s">
        <v>289</v>
      </c>
      <c r="E4" s="117" t="s">
        <v>290</v>
      </c>
      <c r="F4" s="116" t="s">
        <v>115</v>
      </c>
      <c r="H4" s="118" t="s">
        <v>288</v>
      </c>
      <c r="I4" s="119" t="s">
        <v>291</v>
      </c>
      <c r="J4" s="119" t="s">
        <v>292</v>
      </c>
    </row>
    <row r="5" spans="1:10" ht="17">
      <c r="B5" s="120" t="s">
        <v>293</v>
      </c>
      <c r="C5" s="120">
        <v>1000</v>
      </c>
      <c r="D5" s="120" t="s">
        <v>294</v>
      </c>
      <c r="E5" s="121">
        <f t="shared" ref="E5:E68" si="0">F5*28</f>
        <v>9660</v>
      </c>
      <c r="F5" s="120">
        <v>345</v>
      </c>
      <c r="H5" s="122">
        <v>3000</v>
      </c>
      <c r="I5" s="123">
        <f>SUMIF(C5:C274,H5,F5:F274)</f>
        <v>17538</v>
      </c>
      <c r="J5" s="124">
        <f>SUMIF(C5:C274,H5,E5:E274)</f>
        <v>491064</v>
      </c>
    </row>
    <row r="6" spans="1:10" ht="17">
      <c r="B6" s="120" t="s">
        <v>293</v>
      </c>
      <c r="C6" s="120">
        <v>1050</v>
      </c>
      <c r="D6" s="120" t="s">
        <v>294</v>
      </c>
      <c r="E6" s="121">
        <f t="shared" si="0"/>
        <v>5936</v>
      </c>
      <c r="F6" s="120">
        <v>212</v>
      </c>
      <c r="H6" s="118" t="s">
        <v>295</v>
      </c>
      <c r="I6" s="119" t="s">
        <v>291</v>
      </c>
      <c r="J6" s="119" t="s">
        <v>292</v>
      </c>
    </row>
    <row r="7" spans="1:10" ht="17">
      <c r="B7" s="120" t="s">
        <v>293</v>
      </c>
      <c r="C7" s="120">
        <v>2000</v>
      </c>
      <c r="D7" s="120" t="s">
        <v>294</v>
      </c>
      <c r="E7" s="121">
        <f t="shared" si="0"/>
        <v>10136</v>
      </c>
      <c r="F7" s="120">
        <v>362</v>
      </c>
      <c r="H7" s="122" t="s">
        <v>296</v>
      </c>
      <c r="I7" s="123">
        <f>SUMIF(D5:D274,H7,F5:F274)</f>
        <v>7357</v>
      </c>
      <c r="J7" s="124">
        <f>SUMIF(D5:D274,H7,E5:E274)</f>
        <v>205996</v>
      </c>
    </row>
    <row r="8" spans="1:10" ht="14.5">
      <c r="B8" s="120" t="s">
        <v>293</v>
      </c>
      <c r="C8" s="120">
        <v>2050</v>
      </c>
      <c r="D8" s="120" t="s">
        <v>294</v>
      </c>
      <c r="E8" s="121">
        <f t="shared" si="0"/>
        <v>3388</v>
      </c>
      <c r="F8" s="120">
        <v>121</v>
      </c>
    </row>
    <row r="9" spans="1:10" ht="14.25" customHeight="1">
      <c r="B9" s="120" t="s">
        <v>293</v>
      </c>
      <c r="C9" s="120">
        <v>3000</v>
      </c>
      <c r="D9" s="120" t="s">
        <v>294</v>
      </c>
      <c r="E9" s="121">
        <f t="shared" si="0"/>
        <v>14056</v>
      </c>
      <c r="F9" s="120">
        <v>502</v>
      </c>
    </row>
    <row r="10" spans="1:10" ht="14.5">
      <c r="B10" s="120" t="s">
        <v>293</v>
      </c>
      <c r="C10" s="120">
        <v>3050</v>
      </c>
      <c r="D10" s="120" t="s">
        <v>294</v>
      </c>
      <c r="E10" s="121">
        <f t="shared" si="0"/>
        <v>10136</v>
      </c>
      <c r="F10" s="120">
        <v>362</v>
      </c>
      <c r="H10" s="125">
        <f t="shared" ref="H10:H18" si="1">I10*28</f>
        <v>3388</v>
      </c>
      <c r="I10" s="126">
        <v>121</v>
      </c>
    </row>
    <row r="11" spans="1:10" ht="14.5">
      <c r="B11" s="120" t="s">
        <v>293</v>
      </c>
      <c r="C11" s="120">
        <v>1000</v>
      </c>
      <c r="D11" s="120" t="s">
        <v>297</v>
      </c>
      <c r="E11" s="121">
        <f t="shared" si="0"/>
        <v>14588</v>
      </c>
      <c r="F11" s="120">
        <v>521</v>
      </c>
      <c r="H11" s="125">
        <f t="shared" si="1"/>
        <v>15176</v>
      </c>
      <c r="I11" s="126">
        <v>542</v>
      </c>
    </row>
    <row r="12" spans="1:10" ht="14.5">
      <c r="B12" s="120" t="s">
        <v>293</v>
      </c>
      <c r="C12" s="120">
        <v>1050</v>
      </c>
      <c r="D12" s="120" t="s">
        <v>297</v>
      </c>
      <c r="E12" s="121">
        <f t="shared" si="0"/>
        <v>6552</v>
      </c>
      <c r="F12" s="120">
        <v>234</v>
      </c>
      <c r="H12" s="125">
        <f t="shared" si="1"/>
        <v>5964</v>
      </c>
      <c r="I12" s="126">
        <v>213</v>
      </c>
    </row>
    <row r="13" spans="1:10" ht="14.5">
      <c r="B13" s="120" t="s">
        <v>293</v>
      </c>
      <c r="C13" s="120">
        <v>2000</v>
      </c>
      <c r="D13" s="120" t="s">
        <v>297</v>
      </c>
      <c r="E13" s="121">
        <f t="shared" si="0"/>
        <v>11788</v>
      </c>
      <c r="F13" s="120">
        <v>421</v>
      </c>
      <c r="H13" s="125">
        <f t="shared" si="1"/>
        <v>6748</v>
      </c>
      <c r="I13" s="126">
        <v>241</v>
      </c>
    </row>
    <row r="14" spans="1:10" ht="14.5">
      <c r="B14" s="120" t="s">
        <v>293</v>
      </c>
      <c r="C14" s="120">
        <v>2050</v>
      </c>
      <c r="D14" s="120" t="s">
        <v>297</v>
      </c>
      <c r="E14" s="121">
        <f t="shared" si="0"/>
        <v>9072</v>
      </c>
      <c r="F14" s="120">
        <v>324</v>
      </c>
      <c r="H14" s="125">
        <f t="shared" si="1"/>
        <v>11508</v>
      </c>
      <c r="I14" s="126">
        <v>411</v>
      </c>
    </row>
    <row r="15" spans="1:10" ht="14.5">
      <c r="B15" s="120" t="s">
        <v>293</v>
      </c>
      <c r="C15" s="120">
        <v>3000</v>
      </c>
      <c r="D15" s="120" t="s">
        <v>297</v>
      </c>
      <c r="E15" s="121">
        <f t="shared" si="0"/>
        <v>3388</v>
      </c>
      <c r="F15" s="120">
        <v>121</v>
      </c>
      <c r="H15" s="125">
        <f t="shared" si="1"/>
        <v>3416</v>
      </c>
      <c r="I15" s="126">
        <v>122</v>
      </c>
    </row>
    <row r="16" spans="1:10" ht="14.5">
      <c r="B16" s="120" t="s">
        <v>293</v>
      </c>
      <c r="C16" s="120">
        <v>3050</v>
      </c>
      <c r="D16" s="120" t="s">
        <v>297</v>
      </c>
      <c r="E16" s="121">
        <f t="shared" si="0"/>
        <v>15176</v>
      </c>
      <c r="F16" s="120">
        <v>542</v>
      </c>
      <c r="H16" s="125">
        <f t="shared" si="1"/>
        <v>14588</v>
      </c>
      <c r="I16" s="126">
        <v>521</v>
      </c>
    </row>
    <row r="17" spans="2:9" ht="14.5">
      <c r="B17" s="120" t="s">
        <v>293</v>
      </c>
      <c r="C17" s="120">
        <v>1000</v>
      </c>
      <c r="D17" s="120" t="s">
        <v>296</v>
      </c>
      <c r="E17" s="121">
        <f t="shared" si="0"/>
        <v>5964</v>
      </c>
      <c r="F17" s="120">
        <v>213</v>
      </c>
      <c r="H17" s="125">
        <f t="shared" si="1"/>
        <v>17640</v>
      </c>
      <c r="I17" s="126">
        <v>630</v>
      </c>
    </row>
    <row r="18" spans="2:9" ht="14.5">
      <c r="B18" s="120" t="s">
        <v>293</v>
      </c>
      <c r="C18" s="120">
        <v>1050</v>
      </c>
      <c r="D18" s="120" t="s">
        <v>296</v>
      </c>
      <c r="E18" s="121">
        <f t="shared" si="0"/>
        <v>6748</v>
      </c>
      <c r="F18" s="120">
        <v>241</v>
      </c>
      <c r="H18" s="125">
        <f t="shared" si="1"/>
        <v>9856</v>
      </c>
      <c r="I18" s="126">
        <v>352</v>
      </c>
    </row>
    <row r="19" spans="2:9" ht="14.5">
      <c r="B19" s="120" t="s">
        <v>293</v>
      </c>
      <c r="C19" s="120">
        <v>2000</v>
      </c>
      <c r="D19" s="120" t="s">
        <v>296</v>
      </c>
      <c r="E19" s="121">
        <f t="shared" si="0"/>
        <v>11508</v>
      </c>
      <c r="F19" s="120">
        <v>411</v>
      </c>
      <c r="H19" s="127"/>
      <c r="I19" s="127"/>
    </row>
    <row r="20" spans="2:9" ht="14.5">
      <c r="B20" s="120" t="s">
        <v>293</v>
      </c>
      <c r="C20" s="120">
        <v>2050</v>
      </c>
      <c r="D20" s="120" t="s">
        <v>296</v>
      </c>
      <c r="E20" s="121">
        <f t="shared" si="0"/>
        <v>3416</v>
      </c>
      <c r="F20" s="120">
        <v>122</v>
      </c>
      <c r="H20" s="128" t="s">
        <v>298</v>
      </c>
      <c r="I20" s="128">
        <f>SUBTOTAL(1,I10:I18)</f>
        <v>350.33333333333331</v>
      </c>
    </row>
    <row r="21" spans="2:9" ht="14.5">
      <c r="B21" s="120" t="s">
        <v>293</v>
      </c>
      <c r="C21" s="120">
        <v>3000</v>
      </c>
      <c r="D21" s="120" t="s">
        <v>296</v>
      </c>
      <c r="E21" s="121">
        <f t="shared" si="0"/>
        <v>14588</v>
      </c>
      <c r="F21" s="120">
        <v>521</v>
      </c>
    </row>
    <row r="22" spans="2:9" ht="14.5">
      <c r="B22" s="120" t="s">
        <v>293</v>
      </c>
      <c r="C22" s="120">
        <v>3050</v>
      </c>
      <c r="D22" s="120" t="s">
        <v>296</v>
      </c>
      <c r="E22" s="121">
        <f t="shared" si="0"/>
        <v>17640</v>
      </c>
      <c r="F22" s="120">
        <v>630</v>
      </c>
    </row>
    <row r="23" spans="2:9" ht="14.5">
      <c r="B23" s="120" t="s">
        <v>293</v>
      </c>
      <c r="C23" s="120">
        <v>1000</v>
      </c>
      <c r="D23" s="120" t="s">
        <v>299</v>
      </c>
      <c r="E23" s="121">
        <f t="shared" si="0"/>
        <v>9856</v>
      </c>
      <c r="F23" s="120">
        <v>352</v>
      </c>
    </row>
    <row r="24" spans="2:9" ht="14.5">
      <c r="B24" s="120" t="s">
        <v>293</v>
      </c>
      <c r="C24" s="120">
        <v>1050</v>
      </c>
      <c r="D24" s="120" t="s">
        <v>299</v>
      </c>
      <c r="E24" s="121">
        <f t="shared" si="0"/>
        <v>9016</v>
      </c>
      <c r="F24" s="120">
        <v>322</v>
      </c>
    </row>
    <row r="25" spans="2:9" ht="14.5">
      <c r="B25" s="120" t="s">
        <v>293</v>
      </c>
      <c r="C25" s="120">
        <v>2000</v>
      </c>
      <c r="D25" s="120" t="s">
        <v>299</v>
      </c>
      <c r="E25" s="121">
        <f t="shared" si="0"/>
        <v>17976</v>
      </c>
      <c r="F25" s="120">
        <v>642</v>
      </c>
    </row>
    <row r="26" spans="2:9" ht="14.5">
      <c r="B26" s="120" t="s">
        <v>293</v>
      </c>
      <c r="C26" s="120">
        <v>2050</v>
      </c>
      <c r="D26" s="120" t="s">
        <v>299</v>
      </c>
      <c r="E26" s="121">
        <f t="shared" si="0"/>
        <v>14616</v>
      </c>
      <c r="F26" s="120">
        <v>522</v>
      </c>
    </row>
    <row r="27" spans="2:9" ht="14.5">
      <c r="B27" s="120" t="s">
        <v>293</v>
      </c>
      <c r="C27" s="120">
        <v>3000</v>
      </c>
      <c r="D27" s="120" t="s">
        <v>299</v>
      </c>
      <c r="E27" s="121">
        <f t="shared" si="0"/>
        <v>3724</v>
      </c>
      <c r="F27" s="120">
        <v>133</v>
      </c>
    </row>
    <row r="28" spans="2:9" ht="14.5">
      <c r="B28" s="120" t="s">
        <v>293</v>
      </c>
      <c r="C28" s="120">
        <v>3050</v>
      </c>
      <c r="D28" s="120" t="s">
        <v>299</v>
      </c>
      <c r="E28" s="121">
        <f t="shared" si="0"/>
        <v>12712</v>
      </c>
      <c r="F28" s="120">
        <v>454</v>
      </c>
    </row>
    <row r="29" spans="2:9" ht="14.5">
      <c r="B29" s="120" t="s">
        <v>293</v>
      </c>
      <c r="C29" s="120">
        <v>1000</v>
      </c>
      <c r="D29" s="120" t="s">
        <v>300</v>
      </c>
      <c r="E29" s="121">
        <f t="shared" si="0"/>
        <v>16828</v>
      </c>
      <c r="F29" s="120">
        <v>601</v>
      </c>
    </row>
    <row r="30" spans="2:9" ht="14.5">
      <c r="B30" s="120" t="s">
        <v>293</v>
      </c>
      <c r="C30" s="120">
        <v>1050</v>
      </c>
      <c r="D30" s="120" t="s">
        <v>300</v>
      </c>
      <c r="E30" s="121">
        <f t="shared" si="0"/>
        <v>14056</v>
      </c>
      <c r="F30" s="120">
        <v>502</v>
      </c>
    </row>
    <row r="31" spans="2:9" ht="14.5">
      <c r="B31" s="120" t="s">
        <v>293</v>
      </c>
      <c r="C31" s="120">
        <v>2000</v>
      </c>
      <c r="D31" s="120" t="s">
        <v>300</v>
      </c>
      <c r="E31" s="121">
        <f t="shared" si="0"/>
        <v>8456</v>
      </c>
      <c r="F31" s="120">
        <v>302</v>
      </c>
    </row>
    <row r="32" spans="2:9" ht="14.5">
      <c r="B32" s="120" t="s">
        <v>293</v>
      </c>
      <c r="C32" s="120">
        <v>2050</v>
      </c>
      <c r="D32" s="120" t="s">
        <v>300</v>
      </c>
      <c r="E32" s="121">
        <f t="shared" si="0"/>
        <v>17808</v>
      </c>
      <c r="F32" s="120">
        <v>636</v>
      </c>
    </row>
    <row r="33" spans="2:6" ht="14.5">
      <c r="B33" s="120" t="s">
        <v>293</v>
      </c>
      <c r="C33" s="120">
        <v>3000</v>
      </c>
      <c r="D33" s="120" t="s">
        <v>300</v>
      </c>
      <c r="E33" s="121">
        <f t="shared" si="0"/>
        <v>3416</v>
      </c>
      <c r="F33" s="120">
        <v>122</v>
      </c>
    </row>
    <row r="34" spans="2:6" ht="14.5">
      <c r="B34" s="120" t="s">
        <v>293</v>
      </c>
      <c r="C34" s="120">
        <v>3050</v>
      </c>
      <c r="D34" s="120" t="s">
        <v>300</v>
      </c>
      <c r="E34" s="121">
        <f t="shared" si="0"/>
        <v>13020</v>
      </c>
      <c r="F34" s="120">
        <v>465</v>
      </c>
    </row>
    <row r="35" spans="2:6" ht="14.5">
      <c r="B35" s="120" t="s">
        <v>301</v>
      </c>
      <c r="C35" s="120">
        <v>1000</v>
      </c>
      <c r="D35" s="120" t="s">
        <v>294</v>
      </c>
      <c r="E35" s="121">
        <f t="shared" si="0"/>
        <v>17780</v>
      </c>
      <c r="F35" s="120">
        <v>635</v>
      </c>
    </row>
    <row r="36" spans="2:6" ht="14.5">
      <c r="B36" s="120" t="s">
        <v>301</v>
      </c>
      <c r="C36" s="120">
        <v>1050</v>
      </c>
      <c r="D36" s="120" t="s">
        <v>294</v>
      </c>
      <c r="E36" s="121">
        <f t="shared" si="0"/>
        <v>7140</v>
      </c>
      <c r="F36" s="120">
        <v>255</v>
      </c>
    </row>
    <row r="37" spans="2:6" ht="14.5">
      <c r="B37" s="120" t="s">
        <v>301</v>
      </c>
      <c r="C37" s="120">
        <v>2000</v>
      </c>
      <c r="D37" s="120" t="s">
        <v>294</v>
      </c>
      <c r="E37" s="121">
        <f t="shared" si="0"/>
        <v>7448</v>
      </c>
      <c r="F37" s="120">
        <v>266</v>
      </c>
    </row>
    <row r="38" spans="2:6" ht="14.5">
      <c r="B38" s="120" t="s">
        <v>301</v>
      </c>
      <c r="C38" s="120">
        <v>2050</v>
      </c>
      <c r="D38" s="120" t="s">
        <v>294</v>
      </c>
      <c r="E38" s="121">
        <f t="shared" si="0"/>
        <v>6608</v>
      </c>
      <c r="F38" s="120">
        <v>236</v>
      </c>
    </row>
    <row r="39" spans="2:6" ht="14.5">
      <c r="B39" s="120" t="s">
        <v>301</v>
      </c>
      <c r="C39" s="120">
        <v>3000</v>
      </c>
      <c r="D39" s="120" t="s">
        <v>294</v>
      </c>
      <c r="E39" s="121">
        <f t="shared" si="0"/>
        <v>9856</v>
      </c>
      <c r="F39" s="120">
        <v>352</v>
      </c>
    </row>
    <row r="40" spans="2:6" ht="14.5">
      <c r="B40" s="120" t="s">
        <v>301</v>
      </c>
      <c r="C40" s="120">
        <v>3050</v>
      </c>
      <c r="D40" s="120" t="s">
        <v>294</v>
      </c>
      <c r="E40" s="121">
        <f t="shared" si="0"/>
        <v>10248</v>
      </c>
      <c r="F40" s="120">
        <v>366</v>
      </c>
    </row>
    <row r="41" spans="2:6" ht="14.5">
      <c r="B41" s="120" t="s">
        <v>301</v>
      </c>
      <c r="C41" s="120">
        <v>1000</v>
      </c>
      <c r="D41" s="120" t="s">
        <v>297</v>
      </c>
      <c r="E41" s="121">
        <f t="shared" si="0"/>
        <v>14616</v>
      </c>
      <c r="F41" s="120">
        <v>522</v>
      </c>
    </row>
    <row r="42" spans="2:6" ht="14.5">
      <c r="B42" s="120" t="s">
        <v>301</v>
      </c>
      <c r="C42" s="120">
        <v>1050</v>
      </c>
      <c r="D42" s="120" t="s">
        <v>297</v>
      </c>
      <c r="E42" s="121">
        <f t="shared" si="0"/>
        <v>11816</v>
      </c>
      <c r="F42" s="120">
        <v>422</v>
      </c>
    </row>
    <row r="43" spans="2:6" ht="14.5">
      <c r="B43" s="120" t="s">
        <v>301</v>
      </c>
      <c r="C43" s="120">
        <v>2000</v>
      </c>
      <c r="D43" s="120" t="s">
        <v>297</v>
      </c>
      <c r="E43" s="121">
        <f t="shared" si="0"/>
        <v>14896</v>
      </c>
      <c r="F43" s="120">
        <v>532</v>
      </c>
    </row>
    <row r="44" spans="2:6" ht="14.5">
      <c r="B44" s="120" t="s">
        <v>301</v>
      </c>
      <c r="C44" s="120">
        <v>2050</v>
      </c>
      <c r="D44" s="120" t="s">
        <v>297</v>
      </c>
      <c r="E44" s="121">
        <f t="shared" si="0"/>
        <v>3724</v>
      </c>
      <c r="F44" s="120">
        <v>133</v>
      </c>
    </row>
    <row r="45" spans="2:6" ht="14.5">
      <c r="B45" s="120" t="s">
        <v>301</v>
      </c>
      <c r="C45" s="120">
        <v>3000</v>
      </c>
      <c r="D45" s="120" t="s">
        <v>297</v>
      </c>
      <c r="E45" s="121">
        <f t="shared" si="0"/>
        <v>14616</v>
      </c>
      <c r="F45" s="120">
        <v>522</v>
      </c>
    </row>
    <row r="46" spans="2:6" ht="14.5">
      <c r="B46" s="120" t="s">
        <v>301</v>
      </c>
      <c r="C46" s="120">
        <v>3050</v>
      </c>
      <c r="D46" s="120" t="s">
        <v>297</v>
      </c>
      <c r="E46" s="121">
        <f t="shared" si="0"/>
        <v>9016</v>
      </c>
      <c r="F46" s="120">
        <v>322</v>
      </c>
    </row>
    <row r="47" spans="2:6" ht="14.5">
      <c r="B47" s="120" t="s">
        <v>301</v>
      </c>
      <c r="C47" s="120">
        <v>1000</v>
      </c>
      <c r="D47" s="120" t="s">
        <v>296</v>
      </c>
      <c r="E47" s="121">
        <f t="shared" si="0"/>
        <v>11928</v>
      </c>
      <c r="F47" s="120">
        <v>426</v>
      </c>
    </row>
    <row r="48" spans="2:6" ht="14.5">
      <c r="B48" s="120" t="s">
        <v>301</v>
      </c>
      <c r="C48" s="120">
        <v>1050</v>
      </c>
      <c r="D48" s="120" t="s">
        <v>296</v>
      </c>
      <c r="E48" s="121">
        <f t="shared" si="0"/>
        <v>11480</v>
      </c>
      <c r="F48" s="120">
        <v>410</v>
      </c>
    </row>
    <row r="49" spans="2:6" ht="14.5">
      <c r="B49" s="120" t="s">
        <v>301</v>
      </c>
      <c r="C49" s="120">
        <v>2000</v>
      </c>
      <c r="D49" s="120" t="s">
        <v>296</v>
      </c>
      <c r="E49" s="121">
        <f t="shared" si="0"/>
        <v>8960</v>
      </c>
      <c r="F49" s="120">
        <v>320</v>
      </c>
    </row>
    <row r="50" spans="2:6" ht="14.5">
      <c r="B50" s="120" t="s">
        <v>301</v>
      </c>
      <c r="C50" s="120">
        <v>2050</v>
      </c>
      <c r="D50" s="120" t="s">
        <v>296</v>
      </c>
      <c r="E50" s="121">
        <f t="shared" si="0"/>
        <v>18284</v>
      </c>
      <c r="F50" s="120">
        <v>653</v>
      </c>
    </row>
    <row r="51" spans="2:6" ht="14.5">
      <c r="B51" s="120" t="s">
        <v>301</v>
      </c>
      <c r="C51" s="120">
        <v>3000</v>
      </c>
      <c r="D51" s="120" t="s">
        <v>296</v>
      </c>
      <c r="E51" s="121">
        <f t="shared" si="0"/>
        <v>14028</v>
      </c>
      <c r="F51" s="120">
        <v>501</v>
      </c>
    </row>
    <row r="52" spans="2:6" ht="14.5">
      <c r="B52" s="120" t="s">
        <v>301</v>
      </c>
      <c r="C52" s="120">
        <v>3050</v>
      </c>
      <c r="D52" s="120" t="s">
        <v>296</v>
      </c>
      <c r="E52" s="121">
        <f t="shared" si="0"/>
        <v>11256</v>
      </c>
      <c r="F52" s="120">
        <v>402</v>
      </c>
    </row>
    <row r="53" spans="2:6" ht="14.5">
      <c r="B53" s="120" t="s">
        <v>301</v>
      </c>
      <c r="C53" s="120">
        <v>1000</v>
      </c>
      <c r="D53" s="120" t="s">
        <v>299</v>
      </c>
      <c r="E53" s="121">
        <f t="shared" si="0"/>
        <v>11760</v>
      </c>
      <c r="F53" s="120">
        <v>420</v>
      </c>
    </row>
    <row r="54" spans="2:6" ht="14.5">
      <c r="B54" s="120" t="s">
        <v>301</v>
      </c>
      <c r="C54" s="120">
        <v>1050</v>
      </c>
      <c r="D54" s="120" t="s">
        <v>299</v>
      </c>
      <c r="E54" s="121">
        <f t="shared" si="0"/>
        <v>10080</v>
      </c>
      <c r="F54" s="120">
        <v>360</v>
      </c>
    </row>
    <row r="55" spans="2:6" ht="14.5">
      <c r="B55" s="120" t="s">
        <v>301</v>
      </c>
      <c r="C55" s="120">
        <v>2000</v>
      </c>
      <c r="D55" s="120" t="s">
        <v>299</v>
      </c>
      <c r="E55" s="121">
        <f t="shared" si="0"/>
        <v>11760</v>
      </c>
      <c r="F55" s="120">
        <v>420</v>
      </c>
    </row>
    <row r="56" spans="2:6" ht="14.5">
      <c r="B56" s="120" t="s">
        <v>301</v>
      </c>
      <c r="C56" s="120">
        <v>2050</v>
      </c>
      <c r="D56" s="120" t="s">
        <v>299</v>
      </c>
      <c r="E56" s="121">
        <f t="shared" si="0"/>
        <v>8484</v>
      </c>
      <c r="F56" s="120">
        <v>303</v>
      </c>
    </row>
    <row r="57" spans="2:6" ht="14.5">
      <c r="B57" s="120" t="s">
        <v>301</v>
      </c>
      <c r="C57" s="120">
        <v>3000</v>
      </c>
      <c r="D57" s="120" t="s">
        <v>299</v>
      </c>
      <c r="E57" s="121">
        <f t="shared" si="0"/>
        <v>16856</v>
      </c>
      <c r="F57" s="120">
        <v>602</v>
      </c>
    </row>
    <row r="58" spans="2:6" ht="14.5">
      <c r="B58" s="120" t="s">
        <v>301</v>
      </c>
      <c r="C58" s="120">
        <v>3050</v>
      </c>
      <c r="D58" s="120" t="s">
        <v>299</v>
      </c>
      <c r="E58" s="121">
        <f t="shared" si="0"/>
        <v>14560</v>
      </c>
      <c r="F58" s="120">
        <v>520</v>
      </c>
    </row>
    <row r="59" spans="2:6" ht="14.5">
      <c r="B59" s="120" t="s">
        <v>301</v>
      </c>
      <c r="C59" s="120">
        <v>1000</v>
      </c>
      <c r="D59" s="120" t="s">
        <v>300</v>
      </c>
      <c r="E59" s="121">
        <f t="shared" si="0"/>
        <v>8456</v>
      </c>
      <c r="F59" s="120">
        <v>302</v>
      </c>
    </row>
    <row r="60" spans="2:6" ht="14.5">
      <c r="B60" s="120" t="s">
        <v>301</v>
      </c>
      <c r="C60" s="120">
        <v>1050</v>
      </c>
      <c r="D60" s="120" t="s">
        <v>300</v>
      </c>
      <c r="E60" s="121">
        <f t="shared" si="0"/>
        <v>5684</v>
      </c>
      <c r="F60" s="120">
        <v>203</v>
      </c>
    </row>
    <row r="61" spans="2:6" ht="14.5">
      <c r="B61" s="120" t="s">
        <v>301</v>
      </c>
      <c r="C61" s="120">
        <v>2000</v>
      </c>
      <c r="D61" s="120" t="s">
        <v>300</v>
      </c>
      <c r="E61" s="121">
        <f t="shared" si="0"/>
        <v>5740</v>
      </c>
      <c r="F61" s="120">
        <v>205</v>
      </c>
    </row>
    <row r="62" spans="2:6" ht="14.5">
      <c r="B62" s="120" t="s">
        <v>301</v>
      </c>
      <c r="C62" s="120">
        <v>2050</v>
      </c>
      <c r="D62" s="120" t="s">
        <v>300</v>
      </c>
      <c r="E62" s="121">
        <f t="shared" si="0"/>
        <v>11228</v>
      </c>
      <c r="F62" s="120">
        <v>401</v>
      </c>
    </row>
    <row r="63" spans="2:6" ht="14.5">
      <c r="B63" s="120" t="s">
        <v>301</v>
      </c>
      <c r="C63" s="120">
        <v>3000</v>
      </c>
      <c r="D63" s="120" t="s">
        <v>300</v>
      </c>
      <c r="E63" s="121">
        <f t="shared" si="0"/>
        <v>17360</v>
      </c>
      <c r="F63" s="120">
        <v>620</v>
      </c>
    </row>
    <row r="64" spans="2:6" ht="14.5">
      <c r="B64" s="120" t="s">
        <v>301</v>
      </c>
      <c r="C64" s="120">
        <v>3050</v>
      </c>
      <c r="D64" s="120" t="s">
        <v>300</v>
      </c>
      <c r="E64" s="121">
        <f t="shared" si="0"/>
        <v>6524</v>
      </c>
      <c r="F64" s="120">
        <v>233</v>
      </c>
    </row>
    <row r="65" spans="2:6" ht="14.5">
      <c r="B65" s="120" t="s">
        <v>302</v>
      </c>
      <c r="C65" s="120">
        <v>1000</v>
      </c>
      <c r="D65" s="120" t="s">
        <v>294</v>
      </c>
      <c r="E65" s="121">
        <f t="shared" si="0"/>
        <v>7084</v>
      </c>
      <c r="F65" s="120">
        <v>253</v>
      </c>
    </row>
    <row r="66" spans="2:6" ht="14.5">
      <c r="B66" s="120" t="s">
        <v>302</v>
      </c>
      <c r="C66" s="120">
        <v>1050</v>
      </c>
      <c r="D66" s="120" t="s">
        <v>294</v>
      </c>
      <c r="E66" s="121">
        <f t="shared" si="0"/>
        <v>16828</v>
      </c>
      <c r="F66" s="120">
        <v>601</v>
      </c>
    </row>
    <row r="67" spans="2:6" ht="14.5">
      <c r="B67" s="120" t="s">
        <v>302</v>
      </c>
      <c r="C67" s="120">
        <v>2000</v>
      </c>
      <c r="D67" s="120" t="s">
        <v>294</v>
      </c>
      <c r="E67" s="121">
        <f t="shared" si="0"/>
        <v>12096</v>
      </c>
      <c r="F67" s="120">
        <v>432</v>
      </c>
    </row>
    <row r="68" spans="2:6" ht="14.5">
      <c r="B68" s="120" t="s">
        <v>302</v>
      </c>
      <c r="C68" s="120">
        <v>2050</v>
      </c>
      <c r="D68" s="120" t="s">
        <v>294</v>
      </c>
      <c r="E68" s="121">
        <f t="shared" si="0"/>
        <v>14616</v>
      </c>
      <c r="F68" s="120">
        <v>522</v>
      </c>
    </row>
    <row r="69" spans="2:6" ht="14.5">
      <c r="B69" s="120" t="s">
        <v>302</v>
      </c>
      <c r="C69" s="120">
        <v>3000</v>
      </c>
      <c r="D69" s="120" t="s">
        <v>294</v>
      </c>
      <c r="E69" s="121">
        <f t="shared" ref="E69:E132" si="2">F69*28</f>
        <v>3724</v>
      </c>
      <c r="F69" s="120">
        <v>133</v>
      </c>
    </row>
    <row r="70" spans="2:6" ht="14.5">
      <c r="B70" s="120" t="s">
        <v>302</v>
      </c>
      <c r="C70" s="120">
        <v>3050</v>
      </c>
      <c r="D70" s="120" t="s">
        <v>294</v>
      </c>
      <c r="E70" s="121">
        <f t="shared" si="2"/>
        <v>14616</v>
      </c>
      <c r="F70" s="120">
        <v>522</v>
      </c>
    </row>
    <row r="71" spans="2:6" ht="14.5">
      <c r="B71" s="120" t="s">
        <v>302</v>
      </c>
      <c r="C71" s="120">
        <v>1000</v>
      </c>
      <c r="D71" s="120" t="s">
        <v>297</v>
      </c>
      <c r="E71" s="121">
        <f t="shared" si="2"/>
        <v>9016</v>
      </c>
      <c r="F71" s="120">
        <v>322</v>
      </c>
    </row>
    <row r="72" spans="2:6" ht="14.5">
      <c r="B72" s="120" t="s">
        <v>302</v>
      </c>
      <c r="C72" s="120">
        <v>1050</v>
      </c>
      <c r="D72" s="120" t="s">
        <v>297</v>
      </c>
      <c r="E72" s="121">
        <f t="shared" si="2"/>
        <v>11928</v>
      </c>
      <c r="F72" s="120">
        <v>426</v>
      </c>
    </row>
    <row r="73" spans="2:6" ht="14.5">
      <c r="B73" s="120" t="s">
        <v>302</v>
      </c>
      <c r="C73" s="120">
        <v>2000</v>
      </c>
      <c r="D73" s="120" t="s">
        <v>297</v>
      </c>
      <c r="E73" s="121">
        <f t="shared" si="2"/>
        <v>11480</v>
      </c>
      <c r="F73" s="120">
        <v>410</v>
      </c>
    </row>
    <row r="74" spans="2:6" ht="14.5">
      <c r="B74" s="120" t="s">
        <v>302</v>
      </c>
      <c r="C74" s="120">
        <v>2050</v>
      </c>
      <c r="D74" s="120" t="s">
        <v>297</v>
      </c>
      <c r="E74" s="121">
        <f t="shared" si="2"/>
        <v>8960</v>
      </c>
      <c r="F74" s="120">
        <v>320</v>
      </c>
    </row>
    <row r="75" spans="2:6" ht="14.5">
      <c r="B75" s="120" t="s">
        <v>302</v>
      </c>
      <c r="C75" s="120">
        <v>3000</v>
      </c>
      <c r="D75" s="120" t="s">
        <v>297</v>
      </c>
      <c r="E75" s="121">
        <f t="shared" si="2"/>
        <v>18284</v>
      </c>
      <c r="F75" s="120">
        <v>653</v>
      </c>
    </row>
    <row r="76" spans="2:6" ht="14.5">
      <c r="B76" s="120" t="s">
        <v>302</v>
      </c>
      <c r="C76" s="120">
        <v>3050</v>
      </c>
      <c r="D76" s="120" t="s">
        <v>297</v>
      </c>
      <c r="E76" s="121">
        <f t="shared" si="2"/>
        <v>14028</v>
      </c>
      <c r="F76" s="120">
        <v>501</v>
      </c>
    </row>
    <row r="77" spans="2:6" ht="14.5">
      <c r="B77" s="120" t="s">
        <v>302</v>
      </c>
      <c r="C77" s="120">
        <v>1000</v>
      </c>
      <c r="D77" s="120" t="s">
        <v>296</v>
      </c>
      <c r="E77" s="121">
        <f t="shared" si="2"/>
        <v>11256</v>
      </c>
      <c r="F77" s="120">
        <v>402</v>
      </c>
    </row>
    <row r="78" spans="2:6" ht="14.5">
      <c r="B78" s="120" t="s">
        <v>302</v>
      </c>
      <c r="C78" s="120">
        <v>1050</v>
      </c>
      <c r="D78" s="120" t="s">
        <v>296</v>
      </c>
      <c r="E78" s="121">
        <f t="shared" si="2"/>
        <v>11760</v>
      </c>
      <c r="F78" s="120">
        <v>420</v>
      </c>
    </row>
    <row r="79" spans="2:6" ht="14.5">
      <c r="B79" s="120" t="s">
        <v>302</v>
      </c>
      <c r="C79" s="120">
        <v>2000</v>
      </c>
      <c r="D79" s="120" t="s">
        <v>296</v>
      </c>
      <c r="E79" s="121">
        <f t="shared" si="2"/>
        <v>10080</v>
      </c>
      <c r="F79" s="120">
        <v>360</v>
      </c>
    </row>
    <row r="80" spans="2:6" ht="14.5">
      <c r="B80" s="120" t="s">
        <v>302</v>
      </c>
      <c r="C80" s="120">
        <v>2050</v>
      </c>
      <c r="D80" s="120" t="s">
        <v>296</v>
      </c>
      <c r="E80" s="121">
        <f t="shared" si="2"/>
        <v>11760</v>
      </c>
      <c r="F80" s="120">
        <v>420</v>
      </c>
    </row>
    <row r="81" spans="2:6" ht="14.5">
      <c r="B81" s="120" t="s">
        <v>302</v>
      </c>
      <c r="C81" s="120">
        <v>3000</v>
      </c>
      <c r="D81" s="120" t="s">
        <v>296</v>
      </c>
      <c r="E81" s="121">
        <f t="shared" si="2"/>
        <v>8484</v>
      </c>
      <c r="F81" s="120">
        <v>303</v>
      </c>
    </row>
    <row r="82" spans="2:6" ht="14.5">
      <c r="B82" s="120" t="s">
        <v>302</v>
      </c>
      <c r="C82" s="120">
        <v>3050</v>
      </c>
      <c r="D82" s="120" t="s">
        <v>296</v>
      </c>
      <c r="E82" s="121">
        <f t="shared" si="2"/>
        <v>16856</v>
      </c>
      <c r="F82" s="120">
        <v>602</v>
      </c>
    </row>
    <row r="83" spans="2:6" ht="14.5">
      <c r="B83" s="120" t="s">
        <v>302</v>
      </c>
      <c r="C83" s="120">
        <v>1000</v>
      </c>
      <c r="D83" s="120" t="s">
        <v>299</v>
      </c>
      <c r="E83" s="121">
        <f t="shared" si="2"/>
        <v>14560</v>
      </c>
      <c r="F83" s="120">
        <v>520</v>
      </c>
    </row>
    <row r="84" spans="2:6" ht="14.5">
      <c r="B84" s="120" t="s">
        <v>302</v>
      </c>
      <c r="C84" s="120">
        <v>1050</v>
      </c>
      <c r="D84" s="120" t="s">
        <v>299</v>
      </c>
      <c r="E84" s="121">
        <f t="shared" si="2"/>
        <v>8456</v>
      </c>
      <c r="F84" s="120">
        <v>302</v>
      </c>
    </row>
    <row r="85" spans="2:6" ht="14.5">
      <c r="B85" s="120" t="s">
        <v>302</v>
      </c>
      <c r="C85" s="120">
        <v>2000</v>
      </c>
      <c r="D85" s="120" t="s">
        <v>299</v>
      </c>
      <c r="E85" s="121">
        <f t="shared" si="2"/>
        <v>5684</v>
      </c>
      <c r="F85" s="120">
        <v>203</v>
      </c>
    </row>
    <row r="86" spans="2:6" ht="14.5">
      <c r="B86" s="120" t="s">
        <v>302</v>
      </c>
      <c r="C86" s="120">
        <v>2050</v>
      </c>
      <c r="D86" s="120" t="s">
        <v>299</v>
      </c>
      <c r="E86" s="121">
        <f t="shared" si="2"/>
        <v>5740</v>
      </c>
      <c r="F86" s="120">
        <v>205</v>
      </c>
    </row>
    <row r="87" spans="2:6" ht="14.5">
      <c r="B87" s="120" t="s">
        <v>302</v>
      </c>
      <c r="C87" s="120">
        <v>3000</v>
      </c>
      <c r="D87" s="120" t="s">
        <v>299</v>
      </c>
      <c r="E87" s="121">
        <f t="shared" si="2"/>
        <v>5936</v>
      </c>
      <c r="F87" s="120">
        <v>212</v>
      </c>
    </row>
    <row r="88" spans="2:6" ht="14.5">
      <c r="B88" s="120" t="s">
        <v>302</v>
      </c>
      <c r="C88" s="120">
        <v>3050</v>
      </c>
      <c r="D88" s="120" t="s">
        <v>299</v>
      </c>
      <c r="E88" s="121">
        <f t="shared" si="2"/>
        <v>10136</v>
      </c>
      <c r="F88" s="120">
        <v>362</v>
      </c>
    </row>
    <row r="89" spans="2:6" ht="14.5">
      <c r="B89" s="120" t="s">
        <v>302</v>
      </c>
      <c r="C89" s="120">
        <v>1000</v>
      </c>
      <c r="D89" s="120" t="s">
        <v>300</v>
      </c>
      <c r="E89" s="121">
        <f t="shared" si="2"/>
        <v>3388</v>
      </c>
      <c r="F89" s="120">
        <v>121</v>
      </c>
    </row>
    <row r="90" spans="2:6" ht="14.5">
      <c r="B90" s="120" t="s">
        <v>302</v>
      </c>
      <c r="C90" s="120">
        <v>1050</v>
      </c>
      <c r="D90" s="120" t="s">
        <v>300</v>
      </c>
      <c r="E90" s="121">
        <f t="shared" si="2"/>
        <v>14056</v>
      </c>
      <c r="F90" s="120">
        <v>502</v>
      </c>
    </row>
    <row r="91" spans="2:6" ht="14.5">
      <c r="B91" s="120" t="s">
        <v>302</v>
      </c>
      <c r="C91" s="120">
        <v>2000</v>
      </c>
      <c r="D91" s="120" t="s">
        <v>300</v>
      </c>
      <c r="E91" s="121">
        <f t="shared" si="2"/>
        <v>10136</v>
      </c>
      <c r="F91" s="120">
        <v>362</v>
      </c>
    </row>
    <row r="92" spans="2:6" ht="14.5">
      <c r="B92" s="120" t="s">
        <v>302</v>
      </c>
      <c r="C92" s="120">
        <v>2050</v>
      </c>
      <c r="D92" s="120" t="s">
        <v>300</v>
      </c>
      <c r="E92" s="121">
        <f t="shared" si="2"/>
        <v>14588</v>
      </c>
      <c r="F92" s="120">
        <v>521</v>
      </c>
    </row>
    <row r="93" spans="2:6" ht="14.5">
      <c r="B93" s="120" t="s">
        <v>302</v>
      </c>
      <c r="C93" s="120">
        <v>3000</v>
      </c>
      <c r="D93" s="120" t="s">
        <v>300</v>
      </c>
      <c r="E93" s="121">
        <f t="shared" si="2"/>
        <v>6552</v>
      </c>
      <c r="F93" s="120">
        <v>234</v>
      </c>
    </row>
    <row r="94" spans="2:6" ht="14.5">
      <c r="B94" s="120" t="s">
        <v>302</v>
      </c>
      <c r="C94" s="120">
        <v>3050</v>
      </c>
      <c r="D94" s="120" t="s">
        <v>300</v>
      </c>
      <c r="E94" s="121">
        <f t="shared" si="2"/>
        <v>11788</v>
      </c>
      <c r="F94" s="120">
        <v>421</v>
      </c>
    </row>
    <row r="95" spans="2:6" ht="14.5">
      <c r="B95" s="120" t="s">
        <v>293</v>
      </c>
      <c r="C95" s="120">
        <v>1000</v>
      </c>
      <c r="D95" s="120" t="s">
        <v>303</v>
      </c>
      <c r="E95" s="121">
        <f t="shared" si="2"/>
        <v>9072</v>
      </c>
      <c r="F95" s="120">
        <v>324</v>
      </c>
    </row>
    <row r="96" spans="2:6" ht="14.5">
      <c r="B96" s="120" t="s">
        <v>293</v>
      </c>
      <c r="C96" s="120">
        <v>1050</v>
      </c>
      <c r="D96" s="120" t="s">
        <v>303</v>
      </c>
      <c r="E96" s="121">
        <f t="shared" si="2"/>
        <v>3388</v>
      </c>
      <c r="F96" s="120">
        <v>121</v>
      </c>
    </row>
    <row r="97" spans="2:6" ht="14.5">
      <c r="B97" s="120" t="s">
        <v>293</v>
      </c>
      <c r="C97" s="120">
        <v>2000</v>
      </c>
      <c r="D97" s="120" t="s">
        <v>303</v>
      </c>
      <c r="E97" s="121">
        <f t="shared" si="2"/>
        <v>15176</v>
      </c>
      <c r="F97" s="120">
        <v>542</v>
      </c>
    </row>
    <row r="98" spans="2:6" ht="14.5">
      <c r="B98" s="120" t="s">
        <v>293</v>
      </c>
      <c r="C98" s="120">
        <v>2050</v>
      </c>
      <c r="D98" s="120" t="s">
        <v>303</v>
      </c>
      <c r="E98" s="121">
        <f t="shared" si="2"/>
        <v>5964</v>
      </c>
      <c r="F98" s="120">
        <v>213</v>
      </c>
    </row>
    <row r="99" spans="2:6" ht="14.5">
      <c r="B99" s="120" t="s">
        <v>293</v>
      </c>
      <c r="C99" s="120">
        <v>3000</v>
      </c>
      <c r="D99" s="120" t="s">
        <v>303</v>
      </c>
      <c r="E99" s="121">
        <f t="shared" si="2"/>
        <v>3724</v>
      </c>
      <c r="F99" s="120">
        <v>133</v>
      </c>
    </row>
    <row r="100" spans="2:6" ht="14.5">
      <c r="B100" s="120" t="s">
        <v>293</v>
      </c>
      <c r="C100" s="120">
        <v>3050</v>
      </c>
      <c r="D100" s="120" t="s">
        <v>303</v>
      </c>
      <c r="E100" s="121">
        <f t="shared" si="2"/>
        <v>14616</v>
      </c>
      <c r="F100" s="120">
        <v>522</v>
      </c>
    </row>
    <row r="101" spans="2:6" ht="14.5">
      <c r="B101" s="120" t="s">
        <v>293</v>
      </c>
      <c r="C101" s="120">
        <v>1000</v>
      </c>
      <c r="D101" s="120" t="s">
        <v>304</v>
      </c>
      <c r="E101" s="121">
        <f t="shared" si="2"/>
        <v>9016</v>
      </c>
      <c r="F101" s="120">
        <v>322</v>
      </c>
    </row>
    <row r="102" spans="2:6" ht="14.5">
      <c r="B102" s="120" t="s">
        <v>293</v>
      </c>
      <c r="C102" s="120">
        <v>1050</v>
      </c>
      <c r="D102" s="120" t="s">
        <v>304</v>
      </c>
      <c r="E102" s="121">
        <f t="shared" si="2"/>
        <v>11928</v>
      </c>
      <c r="F102" s="120">
        <v>426</v>
      </c>
    </row>
    <row r="103" spans="2:6" ht="14.5">
      <c r="B103" s="120" t="s">
        <v>293</v>
      </c>
      <c r="C103" s="120">
        <v>2000</v>
      </c>
      <c r="D103" s="120" t="s">
        <v>304</v>
      </c>
      <c r="E103" s="121">
        <f t="shared" si="2"/>
        <v>11480</v>
      </c>
      <c r="F103" s="120">
        <v>410</v>
      </c>
    </row>
    <row r="104" spans="2:6" ht="14.5">
      <c r="B104" s="120" t="s">
        <v>293</v>
      </c>
      <c r="C104" s="120">
        <v>2050</v>
      </c>
      <c r="D104" s="120" t="s">
        <v>304</v>
      </c>
      <c r="E104" s="121">
        <f t="shared" si="2"/>
        <v>8960</v>
      </c>
      <c r="F104" s="120">
        <v>320</v>
      </c>
    </row>
    <row r="105" spans="2:6" ht="14.5">
      <c r="B105" s="120" t="s">
        <v>293</v>
      </c>
      <c r="C105" s="120">
        <v>3000</v>
      </c>
      <c r="D105" s="120" t="s">
        <v>304</v>
      </c>
      <c r="E105" s="121">
        <f t="shared" si="2"/>
        <v>18284</v>
      </c>
      <c r="F105" s="120">
        <v>653</v>
      </c>
    </row>
    <row r="106" spans="2:6" ht="14.5">
      <c r="B106" s="120" t="s">
        <v>293</v>
      </c>
      <c r="C106" s="120">
        <v>3050</v>
      </c>
      <c r="D106" s="120" t="s">
        <v>304</v>
      </c>
      <c r="E106" s="121">
        <f t="shared" si="2"/>
        <v>14028</v>
      </c>
      <c r="F106" s="120">
        <v>501</v>
      </c>
    </row>
    <row r="107" spans="2:6" ht="14.5">
      <c r="B107" s="120" t="s">
        <v>293</v>
      </c>
      <c r="C107" s="120">
        <v>1000</v>
      </c>
      <c r="D107" s="120" t="s">
        <v>305</v>
      </c>
      <c r="E107" s="121">
        <f t="shared" si="2"/>
        <v>11256</v>
      </c>
      <c r="F107" s="120">
        <v>402</v>
      </c>
    </row>
    <row r="108" spans="2:6" ht="14.5">
      <c r="B108" s="120" t="s">
        <v>293</v>
      </c>
      <c r="C108" s="120">
        <v>1050</v>
      </c>
      <c r="D108" s="120" t="s">
        <v>305</v>
      </c>
      <c r="E108" s="121">
        <f t="shared" si="2"/>
        <v>11760</v>
      </c>
      <c r="F108" s="120">
        <v>420</v>
      </c>
    </row>
    <row r="109" spans="2:6" ht="14.5">
      <c r="B109" s="120" t="s">
        <v>293</v>
      </c>
      <c r="C109" s="120">
        <v>2000</v>
      </c>
      <c r="D109" s="120" t="s">
        <v>305</v>
      </c>
      <c r="E109" s="121">
        <f t="shared" si="2"/>
        <v>10080</v>
      </c>
      <c r="F109" s="120">
        <v>360</v>
      </c>
    </row>
    <row r="110" spans="2:6" ht="14.5">
      <c r="B110" s="120" t="s">
        <v>293</v>
      </c>
      <c r="C110" s="120">
        <v>2050</v>
      </c>
      <c r="D110" s="120" t="s">
        <v>305</v>
      </c>
      <c r="E110" s="121">
        <f t="shared" si="2"/>
        <v>11760</v>
      </c>
      <c r="F110" s="120">
        <v>420</v>
      </c>
    </row>
    <row r="111" spans="2:6" ht="14.5">
      <c r="B111" s="120" t="s">
        <v>293</v>
      </c>
      <c r="C111" s="120">
        <v>3000</v>
      </c>
      <c r="D111" s="120" t="s">
        <v>305</v>
      </c>
      <c r="E111" s="121">
        <f t="shared" si="2"/>
        <v>8484</v>
      </c>
      <c r="F111" s="120">
        <v>303</v>
      </c>
    </row>
    <row r="112" spans="2:6" ht="14.5">
      <c r="B112" s="120" t="s">
        <v>293</v>
      </c>
      <c r="C112" s="120">
        <v>3050</v>
      </c>
      <c r="D112" s="120" t="s">
        <v>305</v>
      </c>
      <c r="E112" s="121">
        <f t="shared" si="2"/>
        <v>16856</v>
      </c>
      <c r="F112" s="120">
        <v>602</v>
      </c>
    </row>
    <row r="113" spans="2:6" ht="14.5">
      <c r="B113" s="120" t="s">
        <v>293</v>
      </c>
      <c r="C113" s="120">
        <v>1000</v>
      </c>
      <c r="D113" s="120" t="s">
        <v>306</v>
      </c>
      <c r="E113" s="121">
        <f t="shared" si="2"/>
        <v>14560</v>
      </c>
      <c r="F113" s="120">
        <v>520</v>
      </c>
    </row>
    <row r="114" spans="2:6" ht="14.5">
      <c r="B114" s="120" t="s">
        <v>293</v>
      </c>
      <c r="C114" s="120">
        <v>1050</v>
      </c>
      <c r="D114" s="120" t="s">
        <v>306</v>
      </c>
      <c r="E114" s="121">
        <f t="shared" si="2"/>
        <v>8456</v>
      </c>
      <c r="F114" s="120">
        <v>302</v>
      </c>
    </row>
    <row r="115" spans="2:6" ht="14.5">
      <c r="B115" s="120" t="s">
        <v>293</v>
      </c>
      <c r="C115" s="120">
        <v>2000</v>
      </c>
      <c r="D115" s="120" t="s">
        <v>306</v>
      </c>
      <c r="E115" s="121">
        <f t="shared" si="2"/>
        <v>5684</v>
      </c>
      <c r="F115" s="120">
        <v>203</v>
      </c>
    </row>
    <row r="116" spans="2:6" ht="14.5">
      <c r="B116" s="120" t="s">
        <v>293</v>
      </c>
      <c r="C116" s="120">
        <v>2050</v>
      </c>
      <c r="D116" s="120" t="s">
        <v>306</v>
      </c>
      <c r="E116" s="121">
        <f t="shared" si="2"/>
        <v>5740</v>
      </c>
      <c r="F116" s="120">
        <v>205</v>
      </c>
    </row>
    <row r="117" spans="2:6" ht="14.5">
      <c r="B117" s="120" t="s">
        <v>293</v>
      </c>
      <c r="C117" s="120">
        <v>3000</v>
      </c>
      <c r="D117" s="120" t="s">
        <v>306</v>
      </c>
      <c r="E117" s="121">
        <f t="shared" si="2"/>
        <v>5936</v>
      </c>
      <c r="F117" s="120">
        <v>212</v>
      </c>
    </row>
    <row r="118" spans="2:6" ht="14.5">
      <c r="B118" s="120" t="s">
        <v>293</v>
      </c>
      <c r="C118" s="120">
        <v>3050</v>
      </c>
      <c r="D118" s="120" t="s">
        <v>306</v>
      </c>
      <c r="E118" s="121">
        <f t="shared" si="2"/>
        <v>10136</v>
      </c>
      <c r="F118" s="120">
        <v>362</v>
      </c>
    </row>
    <row r="119" spans="2:6" ht="14.5">
      <c r="B119" s="120" t="s">
        <v>293</v>
      </c>
      <c r="C119" s="120">
        <v>1000</v>
      </c>
      <c r="D119" s="120" t="s">
        <v>307</v>
      </c>
      <c r="E119" s="121">
        <f t="shared" si="2"/>
        <v>3388</v>
      </c>
      <c r="F119" s="120">
        <v>121</v>
      </c>
    </row>
    <row r="120" spans="2:6" ht="14.5">
      <c r="B120" s="120" t="s">
        <v>293</v>
      </c>
      <c r="C120" s="120">
        <v>1050</v>
      </c>
      <c r="D120" s="120" t="s">
        <v>307</v>
      </c>
      <c r="E120" s="121">
        <f t="shared" si="2"/>
        <v>14056</v>
      </c>
      <c r="F120" s="120">
        <v>502</v>
      </c>
    </row>
    <row r="121" spans="2:6" ht="14.5">
      <c r="B121" s="120" t="s">
        <v>293</v>
      </c>
      <c r="C121" s="120">
        <v>2000</v>
      </c>
      <c r="D121" s="120" t="s">
        <v>307</v>
      </c>
      <c r="E121" s="121">
        <f t="shared" si="2"/>
        <v>10136</v>
      </c>
      <c r="F121" s="120">
        <v>362</v>
      </c>
    </row>
    <row r="122" spans="2:6" ht="14.5">
      <c r="B122" s="120" t="s">
        <v>293</v>
      </c>
      <c r="C122" s="120">
        <v>2050</v>
      </c>
      <c r="D122" s="120" t="s">
        <v>307</v>
      </c>
      <c r="E122" s="121">
        <f t="shared" si="2"/>
        <v>14588</v>
      </c>
      <c r="F122" s="120">
        <v>521</v>
      </c>
    </row>
    <row r="123" spans="2:6" ht="14.5">
      <c r="B123" s="120" t="s">
        <v>293</v>
      </c>
      <c r="C123" s="120">
        <v>3000</v>
      </c>
      <c r="D123" s="120" t="s">
        <v>307</v>
      </c>
      <c r="E123" s="121">
        <f t="shared" si="2"/>
        <v>6552</v>
      </c>
      <c r="F123" s="120">
        <v>234</v>
      </c>
    </row>
    <row r="124" spans="2:6" ht="14.5">
      <c r="B124" s="120" t="s">
        <v>293</v>
      </c>
      <c r="C124" s="120">
        <v>3050</v>
      </c>
      <c r="D124" s="120" t="s">
        <v>307</v>
      </c>
      <c r="E124" s="121">
        <f t="shared" si="2"/>
        <v>11788</v>
      </c>
      <c r="F124" s="120">
        <v>421</v>
      </c>
    </row>
    <row r="125" spans="2:6" ht="14.5">
      <c r="B125" s="120" t="s">
        <v>301</v>
      </c>
      <c r="C125" s="120">
        <v>1000</v>
      </c>
      <c r="D125" s="120" t="s">
        <v>303</v>
      </c>
      <c r="E125" s="121">
        <f t="shared" si="2"/>
        <v>9072</v>
      </c>
      <c r="F125" s="120">
        <v>324</v>
      </c>
    </row>
    <row r="126" spans="2:6" ht="14.5">
      <c r="B126" s="120" t="s">
        <v>301</v>
      </c>
      <c r="C126" s="120">
        <v>1050</v>
      </c>
      <c r="D126" s="120" t="s">
        <v>303</v>
      </c>
      <c r="E126" s="121">
        <f t="shared" si="2"/>
        <v>3388</v>
      </c>
      <c r="F126" s="120">
        <v>121</v>
      </c>
    </row>
    <row r="127" spans="2:6" ht="14.5">
      <c r="B127" s="120" t="s">
        <v>301</v>
      </c>
      <c r="C127" s="120">
        <v>2000</v>
      </c>
      <c r="D127" s="120" t="s">
        <v>303</v>
      </c>
      <c r="E127" s="121">
        <f t="shared" si="2"/>
        <v>15176</v>
      </c>
      <c r="F127" s="120">
        <v>542</v>
      </c>
    </row>
    <row r="128" spans="2:6" ht="14.5">
      <c r="B128" s="120" t="s">
        <v>301</v>
      </c>
      <c r="C128" s="120">
        <v>2050</v>
      </c>
      <c r="D128" s="120" t="s">
        <v>303</v>
      </c>
      <c r="E128" s="121">
        <f t="shared" si="2"/>
        <v>5964</v>
      </c>
      <c r="F128" s="120">
        <v>213</v>
      </c>
    </row>
    <row r="129" spans="2:6" ht="14.5">
      <c r="B129" s="120" t="s">
        <v>301</v>
      </c>
      <c r="C129" s="120">
        <v>3000</v>
      </c>
      <c r="D129" s="120" t="s">
        <v>303</v>
      </c>
      <c r="E129" s="121">
        <f t="shared" si="2"/>
        <v>14588</v>
      </c>
      <c r="F129" s="120">
        <v>521</v>
      </c>
    </row>
    <row r="130" spans="2:6" ht="14.5">
      <c r="B130" s="120" t="s">
        <v>301</v>
      </c>
      <c r="C130" s="120">
        <v>3050</v>
      </c>
      <c r="D130" s="120" t="s">
        <v>303</v>
      </c>
      <c r="E130" s="121">
        <f t="shared" si="2"/>
        <v>17640</v>
      </c>
      <c r="F130" s="120">
        <v>630</v>
      </c>
    </row>
    <row r="131" spans="2:6" ht="14.5">
      <c r="B131" s="120" t="s">
        <v>301</v>
      </c>
      <c r="C131" s="120">
        <v>1000</v>
      </c>
      <c r="D131" s="120" t="s">
        <v>304</v>
      </c>
      <c r="E131" s="121">
        <f t="shared" si="2"/>
        <v>9856</v>
      </c>
      <c r="F131" s="120">
        <v>352</v>
      </c>
    </row>
    <row r="132" spans="2:6" ht="14.5">
      <c r="B132" s="120" t="s">
        <v>301</v>
      </c>
      <c r="C132" s="120">
        <v>1050</v>
      </c>
      <c r="D132" s="120" t="s">
        <v>304</v>
      </c>
      <c r="E132" s="121">
        <f t="shared" si="2"/>
        <v>9016</v>
      </c>
      <c r="F132" s="120">
        <v>322</v>
      </c>
    </row>
    <row r="133" spans="2:6" ht="14.5">
      <c r="B133" s="120" t="s">
        <v>301</v>
      </c>
      <c r="C133" s="120">
        <v>2000</v>
      </c>
      <c r="D133" s="120" t="s">
        <v>304</v>
      </c>
      <c r="E133" s="121">
        <f t="shared" ref="E133:E196" si="3">F133*28</f>
        <v>17976</v>
      </c>
      <c r="F133" s="120">
        <v>642</v>
      </c>
    </row>
    <row r="134" spans="2:6" ht="14.5">
      <c r="B134" s="120" t="s">
        <v>301</v>
      </c>
      <c r="C134" s="120">
        <v>2050</v>
      </c>
      <c r="D134" s="120" t="s">
        <v>304</v>
      </c>
      <c r="E134" s="121">
        <f t="shared" si="3"/>
        <v>14616</v>
      </c>
      <c r="F134" s="120">
        <v>522</v>
      </c>
    </row>
    <row r="135" spans="2:6" ht="14.5">
      <c r="B135" s="120" t="s">
        <v>301</v>
      </c>
      <c r="C135" s="120">
        <v>3000</v>
      </c>
      <c r="D135" s="120" t="s">
        <v>304</v>
      </c>
      <c r="E135" s="121">
        <f t="shared" si="3"/>
        <v>3724</v>
      </c>
      <c r="F135" s="120">
        <v>133</v>
      </c>
    </row>
    <row r="136" spans="2:6" ht="14.5">
      <c r="B136" s="120" t="s">
        <v>301</v>
      </c>
      <c r="C136" s="120">
        <v>3050</v>
      </c>
      <c r="D136" s="120" t="s">
        <v>304</v>
      </c>
      <c r="E136" s="121">
        <f t="shared" si="3"/>
        <v>12712</v>
      </c>
      <c r="F136" s="120">
        <v>454</v>
      </c>
    </row>
    <row r="137" spans="2:6" ht="14.5">
      <c r="B137" s="120" t="s">
        <v>301</v>
      </c>
      <c r="C137" s="120">
        <v>1000</v>
      </c>
      <c r="D137" s="120" t="s">
        <v>305</v>
      </c>
      <c r="E137" s="121">
        <f t="shared" si="3"/>
        <v>16828</v>
      </c>
      <c r="F137" s="120">
        <v>601</v>
      </c>
    </row>
    <row r="138" spans="2:6" ht="14.5">
      <c r="B138" s="120" t="s">
        <v>301</v>
      </c>
      <c r="C138" s="120">
        <v>1050</v>
      </c>
      <c r="D138" s="120" t="s">
        <v>305</v>
      </c>
      <c r="E138" s="121">
        <f t="shared" si="3"/>
        <v>14056</v>
      </c>
      <c r="F138" s="120">
        <v>502</v>
      </c>
    </row>
    <row r="139" spans="2:6" ht="14.5">
      <c r="B139" s="120" t="s">
        <v>301</v>
      </c>
      <c r="C139" s="120">
        <v>2000</v>
      </c>
      <c r="D139" s="120" t="s">
        <v>305</v>
      </c>
      <c r="E139" s="121">
        <f t="shared" si="3"/>
        <v>8456</v>
      </c>
      <c r="F139" s="120">
        <v>302</v>
      </c>
    </row>
    <row r="140" spans="2:6" ht="14.5">
      <c r="B140" s="120" t="s">
        <v>301</v>
      </c>
      <c r="C140" s="120">
        <v>2050</v>
      </c>
      <c r="D140" s="120" t="s">
        <v>305</v>
      </c>
      <c r="E140" s="121">
        <f t="shared" si="3"/>
        <v>17808</v>
      </c>
      <c r="F140" s="120">
        <v>636</v>
      </c>
    </row>
    <row r="141" spans="2:6" ht="14.5">
      <c r="B141" s="120" t="s">
        <v>301</v>
      </c>
      <c r="C141" s="120">
        <v>3000</v>
      </c>
      <c r="D141" s="120" t="s">
        <v>305</v>
      </c>
      <c r="E141" s="121">
        <f t="shared" si="3"/>
        <v>3416</v>
      </c>
      <c r="F141" s="120">
        <v>122</v>
      </c>
    </row>
    <row r="142" spans="2:6" ht="14.5">
      <c r="B142" s="120" t="s">
        <v>301</v>
      </c>
      <c r="C142" s="120">
        <v>3050</v>
      </c>
      <c r="D142" s="120" t="s">
        <v>305</v>
      </c>
      <c r="E142" s="121">
        <f t="shared" si="3"/>
        <v>13020</v>
      </c>
      <c r="F142" s="120">
        <v>465</v>
      </c>
    </row>
    <row r="143" spans="2:6" ht="14.5">
      <c r="B143" s="120" t="s">
        <v>301</v>
      </c>
      <c r="C143" s="120">
        <v>1000</v>
      </c>
      <c r="D143" s="120" t="s">
        <v>306</v>
      </c>
      <c r="E143" s="121">
        <f t="shared" si="3"/>
        <v>17780</v>
      </c>
      <c r="F143" s="120">
        <v>635</v>
      </c>
    </row>
    <row r="144" spans="2:6" ht="14.5">
      <c r="B144" s="120" t="s">
        <v>301</v>
      </c>
      <c r="C144" s="120">
        <v>1050</v>
      </c>
      <c r="D144" s="120" t="s">
        <v>306</v>
      </c>
      <c r="E144" s="121">
        <f t="shared" si="3"/>
        <v>7140</v>
      </c>
      <c r="F144" s="120">
        <v>255</v>
      </c>
    </row>
    <row r="145" spans="2:6" ht="14.5">
      <c r="B145" s="120" t="s">
        <v>301</v>
      </c>
      <c r="C145" s="120">
        <v>2000</v>
      </c>
      <c r="D145" s="120" t="s">
        <v>306</v>
      </c>
      <c r="E145" s="121">
        <f t="shared" si="3"/>
        <v>7448</v>
      </c>
      <c r="F145" s="120">
        <v>266</v>
      </c>
    </row>
    <row r="146" spans="2:6" ht="14.5">
      <c r="B146" s="120" t="s">
        <v>301</v>
      </c>
      <c r="C146" s="120">
        <v>2050</v>
      </c>
      <c r="D146" s="120" t="s">
        <v>306</v>
      </c>
      <c r="E146" s="121">
        <f t="shared" si="3"/>
        <v>6608</v>
      </c>
      <c r="F146" s="120">
        <v>236</v>
      </c>
    </row>
    <row r="147" spans="2:6" ht="14.5">
      <c r="B147" s="120" t="s">
        <v>301</v>
      </c>
      <c r="C147" s="120">
        <v>3000</v>
      </c>
      <c r="D147" s="120" t="s">
        <v>306</v>
      </c>
      <c r="E147" s="121">
        <f t="shared" si="3"/>
        <v>9856</v>
      </c>
      <c r="F147" s="120">
        <v>352</v>
      </c>
    </row>
    <row r="148" spans="2:6" ht="14.5">
      <c r="B148" s="120" t="s">
        <v>301</v>
      </c>
      <c r="C148" s="120">
        <v>3050</v>
      </c>
      <c r="D148" s="120" t="s">
        <v>306</v>
      </c>
      <c r="E148" s="121">
        <f t="shared" si="3"/>
        <v>10248</v>
      </c>
      <c r="F148" s="120">
        <v>366</v>
      </c>
    </row>
    <row r="149" spans="2:6" ht="14.5">
      <c r="B149" s="120" t="s">
        <v>301</v>
      </c>
      <c r="C149" s="120">
        <v>1000</v>
      </c>
      <c r="D149" s="120" t="s">
        <v>307</v>
      </c>
      <c r="E149" s="121">
        <f t="shared" si="3"/>
        <v>14616</v>
      </c>
      <c r="F149" s="120">
        <v>522</v>
      </c>
    </row>
    <row r="150" spans="2:6" ht="14.5">
      <c r="B150" s="120" t="s">
        <v>301</v>
      </c>
      <c r="C150" s="120">
        <v>1050</v>
      </c>
      <c r="D150" s="120" t="s">
        <v>307</v>
      </c>
      <c r="E150" s="121">
        <f t="shared" si="3"/>
        <v>11816</v>
      </c>
      <c r="F150" s="120">
        <v>422</v>
      </c>
    </row>
    <row r="151" spans="2:6" ht="14.5">
      <c r="B151" s="120" t="s">
        <v>301</v>
      </c>
      <c r="C151" s="120">
        <v>2000</v>
      </c>
      <c r="D151" s="120" t="s">
        <v>307</v>
      </c>
      <c r="E151" s="121">
        <f t="shared" si="3"/>
        <v>14896</v>
      </c>
      <c r="F151" s="120">
        <v>532</v>
      </c>
    </row>
    <row r="152" spans="2:6" ht="14.5">
      <c r="B152" s="120" t="s">
        <v>301</v>
      </c>
      <c r="C152" s="120">
        <v>2050</v>
      </c>
      <c r="D152" s="120" t="s">
        <v>307</v>
      </c>
      <c r="E152" s="121">
        <f t="shared" si="3"/>
        <v>3724</v>
      </c>
      <c r="F152" s="120">
        <v>133</v>
      </c>
    </row>
    <row r="153" spans="2:6" ht="14.5">
      <c r="B153" s="120" t="s">
        <v>301</v>
      </c>
      <c r="C153" s="120">
        <v>3000</v>
      </c>
      <c r="D153" s="120" t="s">
        <v>307</v>
      </c>
      <c r="E153" s="121">
        <f t="shared" si="3"/>
        <v>14616</v>
      </c>
      <c r="F153" s="120">
        <v>522</v>
      </c>
    </row>
    <row r="154" spans="2:6" ht="14.5">
      <c r="B154" s="120" t="s">
        <v>301</v>
      </c>
      <c r="C154" s="120">
        <v>3050</v>
      </c>
      <c r="D154" s="120" t="s">
        <v>307</v>
      </c>
      <c r="E154" s="121">
        <f t="shared" si="3"/>
        <v>9016</v>
      </c>
      <c r="F154" s="120">
        <v>322</v>
      </c>
    </row>
    <row r="155" spans="2:6" ht="14.5">
      <c r="B155" s="120" t="s">
        <v>302</v>
      </c>
      <c r="C155" s="120">
        <v>1000</v>
      </c>
      <c r="D155" s="120" t="s">
        <v>303</v>
      </c>
      <c r="E155" s="121">
        <f t="shared" si="3"/>
        <v>5936</v>
      </c>
      <c r="F155" s="120">
        <v>212</v>
      </c>
    </row>
    <row r="156" spans="2:6" ht="14.5">
      <c r="B156" s="120" t="s">
        <v>302</v>
      </c>
      <c r="C156" s="120">
        <v>1050</v>
      </c>
      <c r="D156" s="120" t="s">
        <v>303</v>
      </c>
      <c r="E156" s="121">
        <f t="shared" si="3"/>
        <v>10136</v>
      </c>
      <c r="F156" s="120">
        <v>362</v>
      </c>
    </row>
    <row r="157" spans="2:6" ht="14.5">
      <c r="B157" s="120" t="s">
        <v>302</v>
      </c>
      <c r="C157" s="120">
        <v>2000</v>
      </c>
      <c r="D157" s="120" t="s">
        <v>303</v>
      </c>
      <c r="E157" s="121">
        <f t="shared" si="3"/>
        <v>3388</v>
      </c>
      <c r="F157" s="120">
        <v>121</v>
      </c>
    </row>
    <row r="158" spans="2:6" ht="14.5">
      <c r="B158" s="120" t="s">
        <v>302</v>
      </c>
      <c r="C158" s="120">
        <v>2050</v>
      </c>
      <c r="D158" s="120" t="s">
        <v>303</v>
      </c>
      <c r="E158" s="121">
        <f t="shared" si="3"/>
        <v>14056</v>
      </c>
      <c r="F158" s="120">
        <v>502</v>
      </c>
    </row>
    <row r="159" spans="2:6" ht="14.5">
      <c r="B159" s="120" t="s">
        <v>302</v>
      </c>
      <c r="C159" s="120">
        <v>3000</v>
      </c>
      <c r="D159" s="120" t="s">
        <v>303</v>
      </c>
      <c r="E159" s="121">
        <f t="shared" si="3"/>
        <v>10136</v>
      </c>
      <c r="F159" s="120">
        <v>362</v>
      </c>
    </row>
    <row r="160" spans="2:6" ht="14.5">
      <c r="B160" s="120" t="s">
        <v>302</v>
      </c>
      <c r="C160" s="120">
        <v>3050</v>
      </c>
      <c r="D160" s="120" t="s">
        <v>303</v>
      </c>
      <c r="E160" s="121">
        <f t="shared" si="3"/>
        <v>14588</v>
      </c>
      <c r="F160" s="120">
        <v>521</v>
      </c>
    </row>
    <row r="161" spans="2:6" ht="14.5">
      <c r="B161" s="120" t="s">
        <v>302</v>
      </c>
      <c r="C161" s="120">
        <v>1000</v>
      </c>
      <c r="D161" s="120" t="s">
        <v>304</v>
      </c>
      <c r="E161" s="121">
        <f t="shared" si="3"/>
        <v>6552</v>
      </c>
      <c r="F161" s="120">
        <v>234</v>
      </c>
    </row>
    <row r="162" spans="2:6" ht="14.5">
      <c r="B162" s="120" t="s">
        <v>302</v>
      </c>
      <c r="C162" s="120">
        <v>1050</v>
      </c>
      <c r="D162" s="120" t="s">
        <v>304</v>
      </c>
      <c r="E162" s="121">
        <f t="shared" si="3"/>
        <v>11788</v>
      </c>
      <c r="F162" s="120">
        <v>421</v>
      </c>
    </row>
    <row r="163" spans="2:6" ht="14.5">
      <c r="B163" s="120" t="s">
        <v>302</v>
      </c>
      <c r="C163" s="120">
        <v>2000</v>
      </c>
      <c r="D163" s="120" t="s">
        <v>304</v>
      </c>
      <c r="E163" s="121">
        <f t="shared" si="3"/>
        <v>9072</v>
      </c>
      <c r="F163" s="120">
        <v>324</v>
      </c>
    </row>
    <row r="164" spans="2:6" ht="14.5">
      <c r="B164" s="120" t="s">
        <v>302</v>
      </c>
      <c r="C164" s="120">
        <v>2050</v>
      </c>
      <c r="D164" s="120" t="s">
        <v>304</v>
      </c>
      <c r="E164" s="121">
        <f t="shared" si="3"/>
        <v>3388</v>
      </c>
      <c r="F164" s="120">
        <v>121</v>
      </c>
    </row>
    <row r="165" spans="2:6" ht="14.5">
      <c r="B165" s="120" t="s">
        <v>302</v>
      </c>
      <c r="C165" s="120">
        <v>3000</v>
      </c>
      <c r="D165" s="120" t="s">
        <v>304</v>
      </c>
      <c r="E165" s="121">
        <f t="shared" si="3"/>
        <v>15176</v>
      </c>
      <c r="F165" s="120">
        <v>542</v>
      </c>
    </row>
    <row r="166" spans="2:6" ht="14.5">
      <c r="B166" s="120" t="s">
        <v>302</v>
      </c>
      <c r="C166" s="120">
        <v>3050</v>
      </c>
      <c r="D166" s="120" t="s">
        <v>304</v>
      </c>
      <c r="E166" s="121">
        <f t="shared" si="3"/>
        <v>5964</v>
      </c>
      <c r="F166" s="120">
        <v>213</v>
      </c>
    </row>
    <row r="167" spans="2:6" ht="14.5">
      <c r="B167" s="120" t="s">
        <v>302</v>
      </c>
      <c r="C167" s="120">
        <v>1000</v>
      </c>
      <c r="D167" s="120" t="s">
        <v>305</v>
      </c>
      <c r="E167" s="121">
        <f t="shared" si="3"/>
        <v>14588</v>
      </c>
      <c r="F167" s="120">
        <v>521</v>
      </c>
    </row>
    <row r="168" spans="2:6" ht="14.5">
      <c r="B168" s="120" t="s">
        <v>302</v>
      </c>
      <c r="C168" s="120">
        <v>1050</v>
      </c>
      <c r="D168" s="120" t="s">
        <v>305</v>
      </c>
      <c r="E168" s="121">
        <f t="shared" si="3"/>
        <v>17640</v>
      </c>
      <c r="F168" s="120">
        <v>630</v>
      </c>
    </row>
    <row r="169" spans="2:6" ht="14.5">
      <c r="B169" s="120" t="s">
        <v>302</v>
      </c>
      <c r="C169" s="120">
        <v>2000</v>
      </c>
      <c r="D169" s="120" t="s">
        <v>305</v>
      </c>
      <c r="E169" s="121">
        <f t="shared" si="3"/>
        <v>9856</v>
      </c>
      <c r="F169" s="120">
        <v>352</v>
      </c>
    </row>
    <row r="170" spans="2:6" ht="14.5">
      <c r="B170" s="120" t="s">
        <v>302</v>
      </c>
      <c r="C170" s="120">
        <v>2050</v>
      </c>
      <c r="D170" s="120" t="s">
        <v>305</v>
      </c>
      <c r="E170" s="121">
        <f t="shared" si="3"/>
        <v>9016</v>
      </c>
      <c r="F170" s="120">
        <v>322</v>
      </c>
    </row>
    <row r="171" spans="2:6" ht="14.5">
      <c r="B171" s="120" t="s">
        <v>302</v>
      </c>
      <c r="C171" s="120">
        <v>3000</v>
      </c>
      <c r="D171" s="120" t="s">
        <v>305</v>
      </c>
      <c r="E171" s="121">
        <f t="shared" si="3"/>
        <v>17976</v>
      </c>
      <c r="F171" s="120">
        <v>642</v>
      </c>
    </row>
    <row r="172" spans="2:6" ht="14.5">
      <c r="B172" s="120" t="s">
        <v>302</v>
      </c>
      <c r="C172" s="120">
        <v>3050</v>
      </c>
      <c r="D172" s="120" t="s">
        <v>305</v>
      </c>
      <c r="E172" s="121">
        <f t="shared" si="3"/>
        <v>14616</v>
      </c>
      <c r="F172" s="120">
        <v>522</v>
      </c>
    </row>
    <row r="173" spans="2:6" ht="14.5">
      <c r="B173" s="120" t="s">
        <v>302</v>
      </c>
      <c r="C173" s="120">
        <v>1000</v>
      </c>
      <c r="D173" s="120" t="s">
        <v>306</v>
      </c>
      <c r="E173" s="121">
        <f t="shared" si="3"/>
        <v>3724</v>
      </c>
      <c r="F173" s="120">
        <v>133</v>
      </c>
    </row>
    <row r="174" spans="2:6" ht="14.5">
      <c r="B174" s="120" t="s">
        <v>302</v>
      </c>
      <c r="C174" s="120">
        <v>1050</v>
      </c>
      <c r="D174" s="120" t="s">
        <v>306</v>
      </c>
      <c r="E174" s="121">
        <f t="shared" si="3"/>
        <v>12712</v>
      </c>
      <c r="F174" s="120">
        <v>454</v>
      </c>
    </row>
    <row r="175" spans="2:6" ht="14.5">
      <c r="B175" s="120" t="s">
        <v>302</v>
      </c>
      <c r="C175" s="120">
        <v>2000</v>
      </c>
      <c r="D175" s="120" t="s">
        <v>306</v>
      </c>
      <c r="E175" s="121">
        <f t="shared" si="3"/>
        <v>16828</v>
      </c>
      <c r="F175" s="120">
        <v>601</v>
      </c>
    </row>
    <row r="176" spans="2:6" ht="14.5">
      <c r="B176" s="120" t="s">
        <v>302</v>
      </c>
      <c r="C176" s="120">
        <v>2050</v>
      </c>
      <c r="D176" s="120" t="s">
        <v>306</v>
      </c>
      <c r="E176" s="121">
        <f t="shared" si="3"/>
        <v>14056</v>
      </c>
      <c r="F176" s="120">
        <v>502</v>
      </c>
    </row>
    <row r="177" spans="2:6" ht="14.5">
      <c r="B177" s="120" t="s">
        <v>302</v>
      </c>
      <c r="C177" s="120">
        <v>3000</v>
      </c>
      <c r="D177" s="120" t="s">
        <v>306</v>
      </c>
      <c r="E177" s="121">
        <f t="shared" si="3"/>
        <v>8456</v>
      </c>
      <c r="F177" s="120">
        <v>302</v>
      </c>
    </row>
    <row r="178" spans="2:6" ht="14.5">
      <c r="B178" s="120" t="s">
        <v>302</v>
      </c>
      <c r="C178" s="120">
        <v>3050</v>
      </c>
      <c r="D178" s="120" t="s">
        <v>306</v>
      </c>
      <c r="E178" s="121">
        <f t="shared" si="3"/>
        <v>17808</v>
      </c>
      <c r="F178" s="120">
        <v>636</v>
      </c>
    </row>
    <row r="179" spans="2:6" ht="14.5">
      <c r="B179" s="120" t="s">
        <v>302</v>
      </c>
      <c r="C179" s="120">
        <v>1000</v>
      </c>
      <c r="D179" s="120" t="s">
        <v>307</v>
      </c>
      <c r="E179" s="121">
        <f t="shared" si="3"/>
        <v>3416</v>
      </c>
      <c r="F179" s="120">
        <v>122</v>
      </c>
    </row>
    <row r="180" spans="2:6" ht="14.5">
      <c r="B180" s="120" t="s">
        <v>302</v>
      </c>
      <c r="C180" s="120">
        <v>1050</v>
      </c>
      <c r="D180" s="120" t="s">
        <v>307</v>
      </c>
      <c r="E180" s="121">
        <f t="shared" si="3"/>
        <v>13020</v>
      </c>
      <c r="F180" s="120">
        <v>465</v>
      </c>
    </row>
    <row r="181" spans="2:6" ht="14.5">
      <c r="B181" s="120" t="s">
        <v>302</v>
      </c>
      <c r="C181" s="120">
        <v>2000</v>
      </c>
      <c r="D181" s="120" t="s">
        <v>307</v>
      </c>
      <c r="E181" s="121">
        <f t="shared" si="3"/>
        <v>17780</v>
      </c>
      <c r="F181" s="120">
        <v>635</v>
      </c>
    </row>
    <row r="182" spans="2:6" ht="14.5">
      <c r="B182" s="120" t="s">
        <v>302</v>
      </c>
      <c r="C182" s="120">
        <v>2050</v>
      </c>
      <c r="D182" s="120" t="s">
        <v>307</v>
      </c>
      <c r="E182" s="121">
        <f t="shared" si="3"/>
        <v>7140</v>
      </c>
      <c r="F182" s="120">
        <v>255</v>
      </c>
    </row>
    <row r="183" spans="2:6" ht="14.5">
      <c r="B183" s="120" t="s">
        <v>302</v>
      </c>
      <c r="C183" s="120">
        <v>3000</v>
      </c>
      <c r="D183" s="120" t="s">
        <v>307</v>
      </c>
      <c r="E183" s="121">
        <f t="shared" si="3"/>
        <v>7448</v>
      </c>
      <c r="F183" s="120">
        <v>266</v>
      </c>
    </row>
    <row r="184" spans="2:6" ht="14.5">
      <c r="B184" s="120" t="s">
        <v>302</v>
      </c>
      <c r="C184" s="120">
        <v>3050</v>
      </c>
      <c r="D184" s="120" t="s">
        <v>307</v>
      </c>
      <c r="E184" s="121">
        <f t="shared" si="3"/>
        <v>6608</v>
      </c>
      <c r="F184" s="120">
        <v>236</v>
      </c>
    </row>
    <row r="185" spans="2:6" ht="14.5">
      <c r="B185" s="120" t="s">
        <v>293</v>
      </c>
      <c r="C185" s="120">
        <v>1000</v>
      </c>
      <c r="D185" s="120" t="s">
        <v>308</v>
      </c>
      <c r="E185" s="121">
        <f t="shared" si="3"/>
        <v>9856</v>
      </c>
      <c r="F185" s="120">
        <v>352</v>
      </c>
    </row>
    <row r="186" spans="2:6" ht="14.5">
      <c r="B186" s="120" t="s">
        <v>293</v>
      </c>
      <c r="C186" s="120">
        <v>1050</v>
      </c>
      <c r="D186" s="120" t="s">
        <v>308</v>
      </c>
      <c r="E186" s="121">
        <f t="shared" si="3"/>
        <v>10248</v>
      </c>
      <c r="F186" s="120">
        <v>366</v>
      </c>
    </row>
    <row r="187" spans="2:6" ht="14.5">
      <c r="B187" s="120" t="s">
        <v>293</v>
      </c>
      <c r="C187" s="120">
        <v>2000</v>
      </c>
      <c r="D187" s="120" t="s">
        <v>308</v>
      </c>
      <c r="E187" s="121">
        <f t="shared" si="3"/>
        <v>14616</v>
      </c>
      <c r="F187" s="120">
        <v>522</v>
      </c>
    </row>
    <row r="188" spans="2:6" ht="14.5">
      <c r="B188" s="120" t="s">
        <v>293</v>
      </c>
      <c r="C188" s="120">
        <v>2050</v>
      </c>
      <c r="D188" s="120" t="s">
        <v>308</v>
      </c>
      <c r="E188" s="121">
        <f t="shared" si="3"/>
        <v>11816</v>
      </c>
      <c r="F188" s="120">
        <v>422</v>
      </c>
    </row>
    <row r="189" spans="2:6" ht="14.5">
      <c r="B189" s="120" t="s">
        <v>293</v>
      </c>
      <c r="C189" s="120">
        <v>3000</v>
      </c>
      <c r="D189" s="120" t="s">
        <v>308</v>
      </c>
      <c r="E189" s="121">
        <f t="shared" si="3"/>
        <v>14896</v>
      </c>
      <c r="F189" s="120">
        <v>532</v>
      </c>
    </row>
    <row r="190" spans="2:6" ht="14.5">
      <c r="B190" s="120" t="s">
        <v>293</v>
      </c>
      <c r="C190" s="120">
        <v>3050</v>
      </c>
      <c r="D190" s="120" t="s">
        <v>308</v>
      </c>
      <c r="E190" s="121">
        <f t="shared" si="3"/>
        <v>3724</v>
      </c>
      <c r="F190" s="120">
        <v>133</v>
      </c>
    </row>
    <row r="191" spans="2:6" ht="14.5">
      <c r="B191" s="120" t="s">
        <v>293</v>
      </c>
      <c r="C191" s="120">
        <v>1000</v>
      </c>
      <c r="D191" s="120" t="s">
        <v>309</v>
      </c>
      <c r="E191" s="121">
        <f t="shared" si="3"/>
        <v>14616</v>
      </c>
      <c r="F191" s="120">
        <v>522</v>
      </c>
    </row>
    <row r="192" spans="2:6" ht="14.5">
      <c r="B192" s="120" t="s">
        <v>293</v>
      </c>
      <c r="C192" s="120">
        <v>1050</v>
      </c>
      <c r="D192" s="120" t="s">
        <v>309</v>
      </c>
      <c r="E192" s="121">
        <f t="shared" si="3"/>
        <v>9016</v>
      </c>
      <c r="F192" s="120">
        <v>322</v>
      </c>
    </row>
    <row r="193" spans="2:6" ht="14.5">
      <c r="B193" s="120" t="s">
        <v>293</v>
      </c>
      <c r="C193" s="120">
        <v>2000</v>
      </c>
      <c r="D193" s="120" t="s">
        <v>309</v>
      </c>
      <c r="E193" s="121">
        <f t="shared" si="3"/>
        <v>3724</v>
      </c>
      <c r="F193" s="120">
        <v>133</v>
      </c>
    </row>
    <row r="194" spans="2:6" ht="14.5">
      <c r="B194" s="120" t="s">
        <v>293</v>
      </c>
      <c r="C194" s="120">
        <v>2050</v>
      </c>
      <c r="D194" s="120" t="s">
        <v>309</v>
      </c>
      <c r="E194" s="121">
        <f t="shared" si="3"/>
        <v>14616</v>
      </c>
      <c r="F194" s="120">
        <v>522</v>
      </c>
    </row>
    <row r="195" spans="2:6" ht="14.5">
      <c r="B195" s="120" t="s">
        <v>293</v>
      </c>
      <c r="C195" s="120">
        <v>3000</v>
      </c>
      <c r="D195" s="120" t="s">
        <v>309</v>
      </c>
      <c r="E195" s="121">
        <f t="shared" si="3"/>
        <v>9016</v>
      </c>
      <c r="F195" s="120">
        <v>322</v>
      </c>
    </row>
    <row r="196" spans="2:6" ht="14.5">
      <c r="B196" s="120" t="s">
        <v>293</v>
      </c>
      <c r="C196" s="120">
        <v>3050</v>
      </c>
      <c r="D196" s="120" t="s">
        <v>309</v>
      </c>
      <c r="E196" s="121">
        <f t="shared" si="3"/>
        <v>11928</v>
      </c>
      <c r="F196" s="120">
        <v>426</v>
      </c>
    </row>
    <row r="197" spans="2:6" ht="14.5">
      <c r="B197" s="120" t="s">
        <v>293</v>
      </c>
      <c r="C197" s="120">
        <v>1000</v>
      </c>
      <c r="D197" s="120" t="s">
        <v>310</v>
      </c>
      <c r="E197" s="121">
        <f t="shared" ref="E197:E260" si="4">F197*28</f>
        <v>11480</v>
      </c>
      <c r="F197" s="120">
        <v>410</v>
      </c>
    </row>
    <row r="198" spans="2:6" ht="14.5">
      <c r="B198" s="120" t="s">
        <v>293</v>
      </c>
      <c r="C198" s="120">
        <v>1050</v>
      </c>
      <c r="D198" s="120" t="s">
        <v>310</v>
      </c>
      <c r="E198" s="121">
        <f t="shared" si="4"/>
        <v>8960</v>
      </c>
      <c r="F198" s="120">
        <v>320</v>
      </c>
    </row>
    <row r="199" spans="2:6" ht="14.5">
      <c r="B199" s="120" t="s">
        <v>293</v>
      </c>
      <c r="C199" s="120">
        <v>2000</v>
      </c>
      <c r="D199" s="120" t="s">
        <v>310</v>
      </c>
      <c r="E199" s="121">
        <f t="shared" si="4"/>
        <v>18284</v>
      </c>
      <c r="F199" s="120">
        <v>653</v>
      </c>
    </row>
    <row r="200" spans="2:6" ht="14.5">
      <c r="B200" s="120" t="s">
        <v>293</v>
      </c>
      <c r="C200" s="120">
        <v>2050</v>
      </c>
      <c r="D200" s="120" t="s">
        <v>310</v>
      </c>
      <c r="E200" s="121">
        <f t="shared" si="4"/>
        <v>14028</v>
      </c>
      <c r="F200" s="120">
        <v>501</v>
      </c>
    </row>
    <row r="201" spans="2:6" ht="14.5">
      <c r="B201" s="120" t="s">
        <v>293</v>
      </c>
      <c r="C201" s="120">
        <v>3000</v>
      </c>
      <c r="D201" s="120" t="s">
        <v>310</v>
      </c>
      <c r="E201" s="121">
        <f t="shared" si="4"/>
        <v>11256</v>
      </c>
      <c r="F201" s="120">
        <v>402</v>
      </c>
    </row>
    <row r="202" spans="2:6" ht="14.5">
      <c r="B202" s="120" t="s">
        <v>293</v>
      </c>
      <c r="C202" s="120">
        <v>3050</v>
      </c>
      <c r="D202" s="120" t="s">
        <v>310</v>
      </c>
      <c r="E202" s="121">
        <f t="shared" si="4"/>
        <v>11760</v>
      </c>
      <c r="F202" s="120">
        <v>420</v>
      </c>
    </row>
    <row r="203" spans="2:6" ht="14.5">
      <c r="B203" s="120" t="s">
        <v>293</v>
      </c>
      <c r="C203" s="120">
        <v>1000</v>
      </c>
      <c r="D203" s="120" t="s">
        <v>311</v>
      </c>
      <c r="E203" s="121">
        <f t="shared" si="4"/>
        <v>10080</v>
      </c>
      <c r="F203" s="120">
        <v>360</v>
      </c>
    </row>
    <row r="204" spans="2:6" ht="14.5">
      <c r="B204" s="120" t="s">
        <v>293</v>
      </c>
      <c r="C204" s="120">
        <v>1050</v>
      </c>
      <c r="D204" s="120" t="s">
        <v>311</v>
      </c>
      <c r="E204" s="121">
        <f t="shared" si="4"/>
        <v>11760</v>
      </c>
      <c r="F204" s="120">
        <v>420</v>
      </c>
    </row>
    <row r="205" spans="2:6" ht="14.5">
      <c r="B205" s="120" t="s">
        <v>293</v>
      </c>
      <c r="C205" s="120">
        <v>2000</v>
      </c>
      <c r="D205" s="120" t="s">
        <v>311</v>
      </c>
      <c r="E205" s="121">
        <f t="shared" si="4"/>
        <v>8484</v>
      </c>
      <c r="F205" s="120">
        <v>303</v>
      </c>
    </row>
    <row r="206" spans="2:6" ht="14.5">
      <c r="B206" s="120" t="s">
        <v>293</v>
      </c>
      <c r="C206" s="120">
        <v>2050</v>
      </c>
      <c r="D206" s="120" t="s">
        <v>311</v>
      </c>
      <c r="E206" s="121">
        <f t="shared" si="4"/>
        <v>16856</v>
      </c>
      <c r="F206" s="120">
        <v>602</v>
      </c>
    </row>
    <row r="207" spans="2:6" ht="14.5">
      <c r="B207" s="120" t="s">
        <v>293</v>
      </c>
      <c r="C207" s="120">
        <v>3000</v>
      </c>
      <c r="D207" s="120" t="s">
        <v>311</v>
      </c>
      <c r="E207" s="121">
        <f t="shared" si="4"/>
        <v>14560</v>
      </c>
      <c r="F207" s="120">
        <v>520</v>
      </c>
    </row>
    <row r="208" spans="2:6" ht="14.5">
      <c r="B208" s="120" t="s">
        <v>293</v>
      </c>
      <c r="C208" s="120">
        <v>3050</v>
      </c>
      <c r="D208" s="120" t="s">
        <v>311</v>
      </c>
      <c r="E208" s="121">
        <f t="shared" si="4"/>
        <v>8456</v>
      </c>
      <c r="F208" s="120">
        <v>302</v>
      </c>
    </row>
    <row r="209" spans="2:6" ht="14.5">
      <c r="B209" s="120" t="s">
        <v>293</v>
      </c>
      <c r="C209" s="120">
        <v>1000</v>
      </c>
      <c r="D209" s="120" t="s">
        <v>312</v>
      </c>
      <c r="E209" s="121">
        <f t="shared" si="4"/>
        <v>5684</v>
      </c>
      <c r="F209" s="120">
        <v>203</v>
      </c>
    </row>
    <row r="210" spans="2:6" ht="14.5">
      <c r="B210" s="120" t="s">
        <v>293</v>
      </c>
      <c r="C210" s="120">
        <v>1050</v>
      </c>
      <c r="D210" s="120" t="s">
        <v>312</v>
      </c>
      <c r="E210" s="121">
        <f t="shared" si="4"/>
        <v>14588</v>
      </c>
      <c r="F210" s="120">
        <v>521</v>
      </c>
    </row>
    <row r="211" spans="2:6" ht="14.5">
      <c r="B211" s="120" t="s">
        <v>293</v>
      </c>
      <c r="C211" s="120">
        <v>2000</v>
      </c>
      <c r="D211" s="120" t="s">
        <v>312</v>
      </c>
      <c r="E211" s="121">
        <f t="shared" si="4"/>
        <v>17640</v>
      </c>
      <c r="F211" s="120">
        <v>630</v>
      </c>
    </row>
    <row r="212" spans="2:6" ht="14.5">
      <c r="B212" s="120" t="s">
        <v>293</v>
      </c>
      <c r="C212" s="120">
        <v>2050</v>
      </c>
      <c r="D212" s="120" t="s">
        <v>312</v>
      </c>
      <c r="E212" s="121">
        <f t="shared" si="4"/>
        <v>9856</v>
      </c>
      <c r="F212" s="120">
        <v>352</v>
      </c>
    </row>
    <row r="213" spans="2:6" ht="14.5">
      <c r="B213" s="120" t="s">
        <v>293</v>
      </c>
      <c r="C213" s="120">
        <v>3000</v>
      </c>
      <c r="D213" s="120" t="s">
        <v>312</v>
      </c>
      <c r="E213" s="121">
        <f t="shared" si="4"/>
        <v>9016</v>
      </c>
      <c r="F213" s="120">
        <v>322</v>
      </c>
    </row>
    <row r="214" spans="2:6" ht="14.5">
      <c r="B214" s="120" t="s">
        <v>293</v>
      </c>
      <c r="C214" s="120">
        <v>3050</v>
      </c>
      <c r="D214" s="120" t="s">
        <v>312</v>
      </c>
      <c r="E214" s="121">
        <f t="shared" si="4"/>
        <v>17976</v>
      </c>
      <c r="F214" s="120">
        <v>642</v>
      </c>
    </row>
    <row r="215" spans="2:6" ht="14.5">
      <c r="B215" s="120" t="s">
        <v>301</v>
      </c>
      <c r="C215" s="120">
        <v>1000</v>
      </c>
      <c r="D215" s="120" t="s">
        <v>308</v>
      </c>
      <c r="E215" s="121">
        <f t="shared" si="4"/>
        <v>14616</v>
      </c>
      <c r="F215" s="120">
        <v>522</v>
      </c>
    </row>
    <row r="216" spans="2:6" ht="14.5">
      <c r="B216" s="120" t="s">
        <v>301</v>
      </c>
      <c r="C216" s="120">
        <v>1050</v>
      </c>
      <c r="D216" s="120" t="s">
        <v>308</v>
      </c>
      <c r="E216" s="121">
        <f t="shared" si="4"/>
        <v>3724</v>
      </c>
      <c r="F216" s="120">
        <v>133</v>
      </c>
    </row>
    <row r="217" spans="2:6" ht="14.5">
      <c r="B217" s="120" t="s">
        <v>301</v>
      </c>
      <c r="C217" s="120">
        <v>2000</v>
      </c>
      <c r="D217" s="120" t="s">
        <v>308</v>
      </c>
      <c r="E217" s="121">
        <f t="shared" si="4"/>
        <v>12712</v>
      </c>
      <c r="F217" s="120">
        <v>454</v>
      </c>
    </row>
    <row r="218" spans="2:6" ht="14.5">
      <c r="B218" s="120" t="s">
        <v>301</v>
      </c>
      <c r="C218" s="120">
        <v>2050</v>
      </c>
      <c r="D218" s="120" t="s">
        <v>308</v>
      </c>
      <c r="E218" s="121">
        <f t="shared" si="4"/>
        <v>16828</v>
      </c>
      <c r="F218" s="120">
        <v>601</v>
      </c>
    </row>
    <row r="219" spans="2:6" ht="14.5">
      <c r="B219" s="120" t="s">
        <v>301</v>
      </c>
      <c r="C219" s="120">
        <v>3000</v>
      </c>
      <c r="D219" s="120" t="s">
        <v>308</v>
      </c>
      <c r="E219" s="121">
        <f t="shared" si="4"/>
        <v>14056</v>
      </c>
      <c r="F219" s="120">
        <v>502</v>
      </c>
    </row>
    <row r="220" spans="2:6" ht="14.5">
      <c r="B220" s="120" t="s">
        <v>301</v>
      </c>
      <c r="C220" s="120">
        <v>3050</v>
      </c>
      <c r="D220" s="120" t="s">
        <v>308</v>
      </c>
      <c r="E220" s="121">
        <f t="shared" si="4"/>
        <v>8456</v>
      </c>
      <c r="F220" s="120">
        <v>302</v>
      </c>
    </row>
    <row r="221" spans="2:6" ht="14.5">
      <c r="B221" s="120" t="s">
        <v>301</v>
      </c>
      <c r="C221" s="120">
        <v>1000</v>
      </c>
      <c r="D221" s="120" t="s">
        <v>309</v>
      </c>
      <c r="E221" s="121">
        <f t="shared" si="4"/>
        <v>17808</v>
      </c>
      <c r="F221" s="120">
        <v>636</v>
      </c>
    </row>
    <row r="222" spans="2:6" ht="14.5">
      <c r="B222" s="120" t="s">
        <v>301</v>
      </c>
      <c r="C222" s="120">
        <v>1050</v>
      </c>
      <c r="D222" s="120" t="s">
        <v>309</v>
      </c>
      <c r="E222" s="121">
        <f t="shared" si="4"/>
        <v>3416</v>
      </c>
      <c r="F222" s="120">
        <v>122</v>
      </c>
    </row>
    <row r="223" spans="2:6" ht="14.5">
      <c r="B223" s="120" t="s">
        <v>301</v>
      </c>
      <c r="C223" s="120">
        <v>2000</v>
      </c>
      <c r="D223" s="120" t="s">
        <v>309</v>
      </c>
      <c r="E223" s="121">
        <f t="shared" si="4"/>
        <v>13020</v>
      </c>
      <c r="F223" s="120">
        <v>465</v>
      </c>
    </row>
    <row r="224" spans="2:6" ht="14.5">
      <c r="B224" s="120" t="s">
        <v>301</v>
      </c>
      <c r="C224" s="120">
        <v>2050</v>
      </c>
      <c r="D224" s="120" t="s">
        <v>309</v>
      </c>
      <c r="E224" s="121">
        <f t="shared" si="4"/>
        <v>17780</v>
      </c>
      <c r="F224" s="120">
        <v>635</v>
      </c>
    </row>
    <row r="225" spans="2:6" ht="14.5">
      <c r="B225" s="120" t="s">
        <v>301</v>
      </c>
      <c r="C225" s="120">
        <v>3000</v>
      </c>
      <c r="D225" s="120" t="s">
        <v>309</v>
      </c>
      <c r="E225" s="121">
        <f t="shared" si="4"/>
        <v>7140</v>
      </c>
      <c r="F225" s="120">
        <v>255</v>
      </c>
    </row>
    <row r="226" spans="2:6" ht="14.5">
      <c r="B226" s="120" t="s">
        <v>301</v>
      </c>
      <c r="C226" s="120">
        <v>3050</v>
      </c>
      <c r="D226" s="120" t="s">
        <v>309</v>
      </c>
      <c r="E226" s="121">
        <f t="shared" si="4"/>
        <v>7448</v>
      </c>
      <c r="F226" s="120">
        <v>266</v>
      </c>
    </row>
    <row r="227" spans="2:6" ht="14.5">
      <c r="B227" s="120" t="s">
        <v>301</v>
      </c>
      <c r="C227" s="120">
        <v>1000</v>
      </c>
      <c r="D227" s="120" t="s">
        <v>310</v>
      </c>
      <c r="E227" s="121">
        <f t="shared" si="4"/>
        <v>6608</v>
      </c>
      <c r="F227" s="120">
        <v>236</v>
      </c>
    </row>
    <row r="228" spans="2:6" ht="14.5">
      <c r="B228" s="120" t="s">
        <v>301</v>
      </c>
      <c r="C228" s="120">
        <v>1050</v>
      </c>
      <c r="D228" s="120" t="s">
        <v>310</v>
      </c>
      <c r="E228" s="121">
        <f t="shared" si="4"/>
        <v>9856</v>
      </c>
      <c r="F228" s="120">
        <v>352</v>
      </c>
    </row>
    <row r="229" spans="2:6" ht="14.5">
      <c r="B229" s="120" t="s">
        <v>301</v>
      </c>
      <c r="C229" s="120">
        <v>2000</v>
      </c>
      <c r="D229" s="120" t="s">
        <v>310</v>
      </c>
      <c r="E229" s="121">
        <f t="shared" si="4"/>
        <v>10248</v>
      </c>
      <c r="F229" s="120">
        <v>366</v>
      </c>
    </row>
    <row r="230" spans="2:6" ht="14.5">
      <c r="B230" s="120" t="s">
        <v>301</v>
      </c>
      <c r="C230" s="120">
        <v>2050</v>
      </c>
      <c r="D230" s="120" t="s">
        <v>310</v>
      </c>
      <c r="E230" s="121">
        <f t="shared" si="4"/>
        <v>14616</v>
      </c>
      <c r="F230" s="120">
        <v>522</v>
      </c>
    </row>
    <row r="231" spans="2:6" ht="14.5">
      <c r="B231" s="120" t="s">
        <v>301</v>
      </c>
      <c r="C231" s="120">
        <v>3000</v>
      </c>
      <c r="D231" s="120" t="s">
        <v>310</v>
      </c>
      <c r="E231" s="121">
        <f t="shared" si="4"/>
        <v>11816</v>
      </c>
      <c r="F231" s="120">
        <v>422</v>
      </c>
    </row>
    <row r="232" spans="2:6" ht="14.5">
      <c r="B232" s="120" t="s">
        <v>301</v>
      </c>
      <c r="C232" s="120">
        <v>3050</v>
      </c>
      <c r="D232" s="120" t="s">
        <v>310</v>
      </c>
      <c r="E232" s="121">
        <f t="shared" si="4"/>
        <v>14896</v>
      </c>
      <c r="F232" s="120">
        <v>532</v>
      </c>
    </row>
    <row r="233" spans="2:6" ht="14.5">
      <c r="B233" s="120" t="s">
        <v>301</v>
      </c>
      <c r="C233" s="120">
        <v>1000</v>
      </c>
      <c r="D233" s="120" t="s">
        <v>311</v>
      </c>
      <c r="E233" s="121">
        <f t="shared" si="4"/>
        <v>3724</v>
      </c>
      <c r="F233" s="120">
        <v>133</v>
      </c>
    </row>
    <row r="234" spans="2:6" ht="14.5">
      <c r="B234" s="120" t="s">
        <v>301</v>
      </c>
      <c r="C234" s="120">
        <v>1050</v>
      </c>
      <c r="D234" s="120" t="s">
        <v>311</v>
      </c>
      <c r="E234" s="121">
        <f t="shared" si="4"/>
        <v>14616</v>
      </c>
      <c r="F234" s="120">
        <v>522</v>
      </c>
    </row>
    <row r="235" spans="2:6" ht="14.5">
      <c r="B235" s="120" t="s">
        <v>301</v>
      </c>
      <c r="C235" s="120">
        <v>2000</v>
      </c>
      <c r="D235" s="120" t="s">
        <v>311</v>
      </c>
      <c r="E235" s="121">
        <f t="shared" si="4"/>
        <v>9016</v>
      </c>
      <c r="F235" s="120">
        <v>322</v>
      </c>
    </row>
    <row r="236" spans="2:6" ht="14.5">
      <c r="B236" s="120" t="s">
        <v>301</v>
      </c>
      <c r="C236" s="120">
        <v>2050</v>
      </c>
      <c r="D236" s="120" t="s">
        <v>311</v>
      </c>
      <c r="E236" s="121">
        <f t="shared" si="4"/>
        <v>5936</v>
      </c>
      <c r="F236" s="120">
        <v>212</v>
      </c>
    </row>
    <row r="237" spans="2:6" ht="14.5">
      <c r="B237" s="120" t="s">
        <v>301</v>
      </c>
      <c r="C237" s="120">
        <v>3000</v>
      </c>
      <c r="D237" s="120" t="s">
        <v>311</v>
      </c>
      <c r="E237" s="121">
        <f t="shared" si="4"/>
        <v>10136</v>
      </c>
      <c r="F237" s="120">
        <v>362</v>
      </c>
    </row>
    <row r="238" spans="2:6" ht="14.5">
      <c r="B238" s="120" t="s">
        <v>301</v>
      </c>
      <c r="C238" s="120">
        <v>3050</v>
      </c>
      <c r="D238" s="120" t="s">
        <v>311</v>
      </c>
      <c r="E238" s="121">
        <f t="shared" si="4"/>
        <v>3388</v>
      </c>
      <c r="F238" s="120">
        <v>121</v>
      </c>
    </row>
    <row r="239" spans="2:6" ht="14.5">
      <c r="B239" s="120" t="s">
        <v>301</v>
      </c>
      <c r="C239" s="120">
        <v>1000</v>
      </c>
      <c r="D239" s="120" t="s">
        <v>312</v>
      </c>
      <c r="E239" s="121">
        <f t="shared" si="4"/>
        <v>14056</v>
      </c>
      <c r="F239" s="120">
        <v>502</v>
      </c>
    </row>
    <row r="240" spans="2:6" ht="14.5">
      <c r="B240" s="120" t="s">
        <v>301</v>
      </c>
      <c r="C240" s="120">
        <v>1050</v>
      </c>
      <c r="D240" s="120" t="s">
        <v>312</v>
      </c>
      <c r="E240" s="121">
        <f t="shared" si="4"/>
        <v>10136</v>
      </c>
      <c r="F240" s="120">
        <v>362</v>
      </c>
    </row>
    <row r="241" spans="2:6" ht="14.5">
      <c r="B241" s="120" t="s">
        <v>301</v>
      </c>
      <c r="C241" s="120">
        <v>2000</v>
      </c>
      <c r="D241" s="120" t="s">
        <v>312</v>
      </c>
      <c r="E241" s="121">
        <f t="shared" si="4"/>
        <v>14588</v>
      </c>
      <c r="F241" s="120">
        <v>521</v>
      </c>
    </row>
    <row r="242" spans="2:6" ht="14.5">
      <c r="B242" s="120" t="s">
        <v>301</v>
      </c>
      <c r="C242" s="120">
        <v>2050</v>
      </c>
      <c r="D242" s="120" t="s">
        <v>312</v>
      </c>
      <c r="E242" s="121">
        <f t="shared" si="4"/>
        <v>6552</v>
      </c>
      <c r="F242" s="120">
        <v>234</v>
      </c>
    </row>
    <row r="243" spans="2:6" ht="14.5">
      <c r="B243" s="120" t="s">
        <v>301</v>
      </c>
      <c r="C243" s="120">
        <v>3000</v>
      </c>
      <c r="D243" s="120" t="s">
        <v>312</v>
      </c>
      <c r="E243" s="121">
        <f t="shared" si="4"/>
        <v>11788</v>
      </c>
      <c r="F243" s="120">
        <v>421</v>
      </c>
    </row>
    <row r="244" spans="2:6" ht="14.5">
      <c r="B244" s="120" t="s">
        <v>301</v>
      </c>
      <c r="C244" s="120">
        <v>3050</v>
      </c>
      <c r="D244" s="120" t="s">
        <v>312</v>
      </c>
      <c r="E244" s="121">
        <f t="shared" si="4"/>
        <v>9072</v>
      </c>
      <c r="F244" s="120">
        <v>324</v>
      </c>
    </row>
    <row r="245" spans="2:6" ht="14.5">
      <c r="B245" s="120" t="s">
        <v>302</v>
      </c>
      <c r="C245" s="120">
        <v>1000</v>
      </c>
      <c r="D245" s="120" t="s">
        <v>308</v>
      </c>
      <c r="E245" s="121">
        <f t="shared" si="4"/>
        <v>3388</v>
      </c>
      <c r="F245" s="120">
        <v>121</v>
      </c>
    </row>
    <row r="246" spans="2:6" ht="14.5">
      <c r="B246" s="120" t="s">
        <v>302</v>
      </c>
      <c r="C246" s="120">
        <v>1050</v>
      </c>
      <c r="D246" s="120" t="s">
        <v>308</v>
      </c>
      <c r="E246" s="121">
        <f t="shared" si="4"/>
        <v>15176</v>
      </c>
      <c r="F246" s="120">
        <v>542</v>
      </c>
    </row>
    <row r="247" spans="2:6" ht="14.5">
      <c r="B247" s="120" t="s">
        <v>302</v>
      </c>
      <c r="C247" s="120">
        <v>2000</v>
      </c>
      <c r="D247" s="120" t="s">
        <v>308</v>
      </c>
      <c r="E247" s="121">
        <f t="shared" si="4"/>
        <v>5964</v>
      </c>
      <c r="F247" s="120">
        <v>213</v>
      </c>
    </row>
    <row r="248" spans="2:6" ht="14.5">
      <c r="B248" s="120" t="s">
        <v>302</v>
      </c>
      <c r="C248" s="120">
        <v>2050</v>
      </c>
      <c r="D248" s="120" t="s">
        <v>308</v>
      </c>
      <c r="E248" s="121">
        <f t="shared" si="4"/>
        <v>3724</v>
      </c>
      <c r="F248" s="120">
        <v>133</v>
      </c>
    </row>
    <row r="249" spans="2:6" ht="14.5">
      <c r="B249" s="120" t="s">
        <v>302</v>
      </c>
      <c r="C249" s="120">
        <v>3000</v>
      </c>
      <c r="D249" s="120" t="s">
        <v>308</v>
      </c>
      <c r="E249" s="121">
        <f t="shared" si="4"/>
        <v>14616</v>
      </c>
      <c r="F249" s="120">
        <v>522</v>
      </c>
    </row>
    <row r="250" spans="2:6" ht="14.5">
      <c r="B250" s="120" t="s">
        <v>302</v>
      </c>
      <c r="C250" s="120">
        <v>3050</v>
      </c>
      <c r="D250" s="120" t="s">
        <v>308</v>
      </c>
      <c r="E250" s="121">
        <f t="shared" si="4"/>
        <v>9016</v>
      </c>
      <c r="F250" s="120">
        <v>322</v>
      </c>
    </row>
    <row r="251" spans="2:6" ht="14.5">
      <c r="B251" s="120" t="s">
        <v>302</v>
      </c>
      <c r="C251" s="120">
        <v>1000</v>
      </c>
      <c r="D251" s="120" t="s">
        <v>309</v>
      </c>
      <c r="E251" s="121">
        <f t="shared" si="4"/>
        <v>11928</v>
      </c>
      <c r="F251" s="120">
        <v>426</v>
      </c>
    </row>
    <row r="252" spans="2:6" ht="14.5">
      <c r="B252" s="120" t="s">
        <v>302</v>
      </c>
      <c r="C252" s="120">
        <v>1050</v>
      </c>
      <c r="D252" s="120" t="s">
        <v>309</v>
      </c>
      <c r="E252" s="121">
        <f t="shared" si="4"/>
        <v>11480</v>
      </c>
      <c r="F252" s="120">
        <v>410</v>
      </c>
    </row>
    <row r="253" spans="2:6" ht="14.5">
      <c r="B253" s="120" t="s">
        <v>302</v>
      </c>
      <c r="C253" s="120">
        <v>2000</v>
      </c>
      <c r="D253" s="120" t="s">
        <v>309</v>
      </c>
      <c r="E253" s="121">
        <f t="shared" si="4"/>
        <v>8960</v>
      </c>
      <c r="F253" s="120">
        <v>320</v>
      </c>
    </row>
    <row r="254" spans="2:6" ht="14.5">
      <c r="B254" s="120" t="s">
        <v>302</v>
      </c>
      <c r="C254" s="120">
        <v>2050</v>
      </c>
      <c r="D254" s="120" t="s">
        <v>309</v>
      </c>
      <c r="E254" s="121">
        <f t="shared" si="4"/>
        <v>18284</v>
      </c>
      <c r="F254" s="120">
        <v>653</v>
      </c>
    </row>
    <row r="255" spans="2:6" ht="14.5">
      <c r="B255" s="120" t="s">
        <v>302</v>
      </c>
      <c r="C255" s="120">
        <v>3000</v>
      </c>
      <c r="D255" s="120" t="s">
        <v>309</v>
      </c>
      <c r="E255" s="121">
        <f t="shared" si="4"/>
        <v>14028</v>
      </c>
      <c r="F255" s="120">
        <v>501</v>
      </c>
    </row>
    <row r="256" spans="2:6" ht="14.5">
      <c r="B256" s="120" t="s">
        <v>302</v>
      </c>
      <c r="C256" s="120">
        <v>3050</v>
      </c>
      <c r="D256" s="120" t="s">
        <v>309</v>
      </c>
      <c r="E256" s="121">
        <f t="shared" si="4"/>
        <v>11256</v>
      </c>
      <c r="F256" s="120">
        <v>402</v>
      </c>
    </row>
    <row r="257" spans="2:6" ht="14.5">
      <c r="B257" s="120" t="s">
        <v>302</v>
      </c>
      <c r="C257" s="120">
        <v>1000</v>
      </c>
      <c r="D257" s="120" t="s">
        <v>310</v>
      </c>
      <c r="E257" s="121">
        <f t="shared" si="4"/>
        <v>11760</v>
      </c>
      <c r="F257" s="120">
        <v>420</v>
      </c>
    </row>
    <row r="258" spans="2:6" ht="14.5">
      <c r="B258" s="120" t="s">
        <v>302</v>
      </c>
      <c r="C258" s="120">
        <v>1050</v>
      </c>
      <c r="D258" s="120" t="s">
        <v>310</v>
      </c>
      <c r="E258" s="121">
        <f t="shared" si="4"/>
        <v>10080</v>
      </c>
      <c r="F258" s="120">
        <v>360</v>
      </c>
    </row>
    <row r="259" spans="2:6" ht="14.5">
      <c r="B259" s="120" t="s">
        <v>302</v>
      </c>
      <c r="C259" s="120">
        <v>2000</v>
      </c>
      <c r="D259" s="120" t="s">
        <v>310</v>
      </c>
      <c r="E259" s="121">
        <f t="shared" si="4"/>
        <v>11760</v>
      </c>
      <c r="F259" s="120">
        <v>420</v>
      </c>
    </row>
    <row r="260" spans="2:6" ht="14.5">
      <c r="B260" s="120" t="s">
        <v>302</v>
      </c>
      <c r="C260" s="120">
        <v>2050</v>
      </c>
      <c r="D260" s="120" t="s">
        <v>310</v>
      </c>
      <c r="E260" s="121">
        <f t="shared" si="4"/>
        <v>8484</v>
      </c>
      <c r="F260" s="120">
        <v>303</v>
      </c>
    </row>
    <row r="261" spans="2:6" ht="14.5">
      <c r="B261" s="120" t="s">
        <v>302</v>
      </c>
      <c r="C261" s="120">
        <v>3000</v>
      </c>
      <c r="D261" s="120" t="s">
        <v>310</v>
      </c>
      <c r="E261" s="121">
        <f t="shared" ref="E261:E274" si="5">F261*28</f>
        <v>16856</v>
      </c>
      <c r="F261" s="120">
        <v>602</v>
      </c>
    </row>
    <row r="262" spans="2:6" ht="14.5">
      <c r="B262" s="120" t="s">
        <v>302</v>
      </c>
      <c r="C262" s="120">
        <v>3050</v>
      </c>
      <c r="D262" s="120" t="s">
        <v>310</v>
      </c>
      <c r="E262" s="121">
        <f t="shared" si="5"/>
        <v>14560</v>
      </c>
      <c r="F262" s="120">
        <v>520</v>
      </c>
    </row>
    <row r="263" spans="2:6" ht="14.5">
      <c r="B263" s="120" t="s">
        <v>302</v>
      </c>
      <c r="C263" s="120">
        <v>1000</v>
      </c>
      <c r="D263" s="120" t="s">
        <v>311</v>
      </c>
      <c r="E263" s="121">
        <f t="shared" si="5"/>
        <v>8456</v>
      </c>
      <c r="F263" s="120">
        <v>302</v>
      </c>
    </row>
    <row r="264" spans="2:6" ht="14.5">
      <c r="B264" s="120" t="s">
        <v>302</v>
      </c>
      <c r="C264" s="120">
        <v>1050</v>
      </c>
      <c r="D264" s="120" t="s">
        <v>311</v>
      </c>
      <c r="E264" s="121">
        <f t="shared" si="5"/>
        <v>5684</v>
      </c>
      <c r="F264" s="120">
        <v>203</v>
      </c>
    </row>
    <row r="265" spans="2:6" ht="14.5">
      <c r="B265" s="120" t="s">
        <v>302</v>
      </c>
      <c r="C265" s="120">
        <v>2000</v>
      </c>
      <c r="D265" s="120" t="s">
        <v>311</v>
      </c>
      <c r="E265" s="121">
        <f t="shared" si="5"/>
        <v>5740</v>
      </c>
      <c r="F265" s="120">
        <v>205</v>
      </c>
    </row>
    <row r="266" spans="2:6" ht="14.5">
      <c r="B266" s="120" t="s">
        <v>302</v>
      </c>
      <c r="C266" s="120">
        <v>2050</v>
      </c>
      <c r="D266" s="120" t="s">
        <v>311</v>
      </c>
      <c r="E266" s="121">
        <f t="shared" si="5"/>
        <v>3724</v>
      </c>
      <c r="F266" s="120">
        <v>133</v>
      </c>
    </row>
    <row r="267" spans="2:6" ht="14.5">
      <c r="B267" s="120" t="s">
        <v>302</v>
      </c>
      <c r="C267" s="120">
        <v>3000</v>
      </c>
      <c r="D267" s="120" t="s">
        <v>311</v>
      </c>
      <c r="E267" s="121">
        <f t="shared" si="5"/>
        <v>14616</v>
      </c>
      <c r="F267" s="120">
        <v>522</v>
      </c>
    </row>
    <row r="268" spans="2:6" ht="14.5">
      <c r="B268" s="120" t="s">
        <v>302</v>
      </c>
      <c r="C268" s="120">
        <v>3050</v>
      </c>
      <c r="D268" s="120" t="s">
        <v>311</v>
      </c>
      <c r="E268" s="121">
        <f t="shared" si="5"/>
        <v>9016</v>
      </c>
      <c r="F268" s="120">
        <v>322</v>
      </c>
    </row>
    <row r="269" spans="2:6" ht="14.5">
      <c r="B269" s="120" t="s">
        <v>302</v>
      </c>
      <c r="C269" s="120">
        <v>1000</v>
      </c>
      <c r="D269" s="120" t="s">
        <v>312</v>
      </c>
      <c r="E269" s="121">
        <f t="shared" si="5"/>
        <v>11928</v>
      </c>
      <c r="F269" s="120">
        <v>426</v>
      </c>
    </row>
    <row r="270" spans="2:6" ht="14.5">
      <c r="B270" s="120" t="s">
        <v>302</v>
      </c>
      <c r="C270" s="120">
        <v>1050</v>
      </c>
      <c r="D270" s="120" t="s">
        <v>312</v>
      </c>
      <c r="E270" s="121">
        <f t="shared" si="5"/>
        <v>11480</v>
      </c>
      <c r="F270" s="120">
        <v>410</v>
      </c>
    </row>
    <row r="271" spans="2:6" ht="14.5">
      <c r="B271" s="120" t="s">
        <v>302</v>
      </c>
      <c r="C271" s="120">
        <v>2000</v>
      </c>
      <c r="D271" s="120" t="s">
        <v>312</v>
      </c>
      <c r="E271" s="121">
        <f t="shared" si="5"/>
        <v>8960</v>
      </c>
      <c r="F271" s="120">
        <v>320</v>
      </c>
    </row>
    <row r="272" spans="2:6" ht="14.5">
      <c r="B272" s="120" t="s">
        <v>302</v>
      </c>
      <c r="C272" s="120">
        <v>2050</v>
      </c>
      <c r="D272" s="120" t="s">
        <v>312</v>
      </c>
      <c r="E272" s="121">
        <f t="shared" si="5"/>
        <v>18284</v>
      </c>
      <c r="F272" s="120">
        <v>653</v>
      </c>
    </row>
    <row r="273" spans="2:6" ht="14.5">
      <c r="B273" s="120" t="s">
        <v>302</v>
      </c>
      <c r="C273" s="120">
        <v>3000</v>
      </c>
      <c r="D273" s="120" t="s">
        <v>312</v>
      </c>
      <c r="E273" s="121">
        <f t="shared" si="5"/>
        <v>14028</v>
      </c>
      <c r="F273" s="120">
        <v>501</v>
      </c>
    </row>
    <row r="274" spans="2:6" ht="14.5">
      <c r="B274" s="120" t="s">
        <v>302</v>
      </c>
      <c r="C274" s="120">
        <v>3050</v>
      </c>
      <c r="D274" s="120" t="s">
        <v>312</v>
      </c>
      <c r="E274" s="121">
        <f t="shared" si="5"/>
        <v>11256</v>
      </c>
      <c r="F274" s="120">
        <v>402</v>
      </c>
    </row>
  </sheetData>
  <autoFilter ref="B4:F4" xr:uid="{00000000-0001-0000-0100-000000000000}"/>
  <pageMargins left="0.75" right="0.75" top="1" bottom="1" header="0.5" footer="0.5"/>
  <pageSetup orientation="landscape" horizontalDpi="4294967292"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9719-ACE3-424B-9AAB-C65825296301}">
  <sheetPr>
    <tabColor rgb="FFFF0000"/>
  </sheetPr>
  <dimension ref="A1:K30"/>
  <sheetViews>
    <sheetView workbookViewId="0">
      <selection activeCell="A13" sqref="A13"/>
    </sheetView>
  </sheetViews>
  <sheetFormatPr defaultColWidth="8.7265625" defaultRowHeight="12.5"/>
  <cols>
    <col min="1" max="1" width="4.54296875" style="79" customWidth="1"/>
    <col min="2" max="6" width="11.26953125" style="79" customWidth="1"/>
    <col min="7" max="7" width="9.1796875" style="79" bestFit="1" customWidth="1"/>
    <col min="8" max="8" width="14.54296875" style="79" bestFit="1" customWidth="1"/>
    <col min="9" max="9" width="9.54296875" style="79" bestFit="1" customWidth="1"/>
    <col min="10" max="10" width="44.81640625" style="79" bestFit="1" customWidth="1"/>
    <col min="11" max="11" width="13" style="79" customWidth="1"/>
    <col min="12" max="16384" width="8.7265625" style="79"/>
  </cols>
  <sheetData>
    <row r="1" spans="1:11" ht="17">
      <c r="A1" s="78" t="s">
        <v>313</v>
      </c>
      <c r="B1" s="129"/>
      <c r="C1" s="129"/>
      <c r="D1" s="129"/>
      <c r="E1" s="130"/>
      <c r="F1" s="131"/>
      <c r="I1" s="132"/>
      <c r="J1" s="133"/>
    </row>
    <row r="3" spans="1:11" ht="15.5">
      <c r="B3" s="134" t="s">
        <v>314</v>
      </c>
      <c r="C3" s="134" t="s">
        <v>315</v>
      </c>
      <c r="D3" s="134" t="s">
        <v>316</v>
      </c>
      <c r="E3" s="134" t="s">
        <v>317</v>
      </c>
      <c r="F3" s="134" t="s">
        <v>318</v>
      </c>
      <c r="I3" s="135" t="s">
        <v>319</v>
      </c>
      <c r="J3" s="135" t="s">
        <v>320</v>
      </c>
      <c r="K3" s="89"/>
    </row>
    <row r="4" spans="1:11" ht="15.5">
      <c r="B4" s="136" t="s">
        <v>321</v>
      </c>
      <c r="C4" s="136" t="s">
        <v>322</v>
      </c>
      <c r="D4" s="136" t="s">
        <v>323</v>
      </c>
      <c r="E4" s="136">
        <v>1</v>
      </c>
      <c r="F4" s="137">
        <f>10200</f>
        <v>10200</v>
      </c>
      <c r="G4" s="138">
        <f>IF(F4&lt;13000,F4,0)</f>
        <v>10200</v>
      </c>
      <c r="H4" s="138"/>
      <c r="I4" s="139">
        <v>1</v>
      </c>
      <c r="J4" s="140" t="s">
        <v>324</v>
      </c>
      <c r="K4" s="141">
        <f>SUMIF(E4:E29,E4,F4:F29)</f>
        <v>72000</v>
      </c>
    </row>
    <row r="5" spans="1:11" ht="15.5">
      <c r="B5" s="136" t="s">
        <v>325</v>
      </c>
      <c r="C5" s="136" t="s">
        <v>322</v>
      </c>
      <c r="D5" s="136" t="s">
        <v>323</v>
      </c>
      <c r="E5" s="136"/>
      <c r="F5" s="137">
        <f>F4*1.2</f>
        <v>12240</v>
      </c>
      <c r="G5" s="138">
        <f t="shared" ref="G5:G29" si="0">IF(F5&lt;13000,F5,0)</f>
        <v>12240</v>
      </c>
      <c r="H5" s="138"/>
      <c r="I5" s="139">
        <v>2</v>
      </c>
      <c r="J5" s="140" t="s">
        <v>326</v>
      </c>
      <c r="K5" s="141">
        <f>SUMIF(B4:F29,"F4:F29&lt;13000")</f>
        <v>0</v>
      </c>
    </row>
    <row r="6" spans="1:11" ht="15.5">
      <c r="B6" s="136" t="s">
        <v>327</v>
      </c>
      <c r="C6" s="136" t="s">
        <v>322</v>
      </c>
      <c r="D6" s="136" t="s">
        <v>323</v>
      </c>
      <c r="E6" s="136"/>
      <c r="F6" s="137">
        <f t="shared" ref="F6:F20" si="1">F5*1.2</f>
        <v>14688</v>
      </c>
      <c r="G6" s="138">
        <f t="shared" si="0"/>
        <v>0</v>
      </c>
      <c r="H6" s="138"/>
      <c r="I6" s="139">
        <v>3</v>
      </c>
      <c r="J6" s="140" t="s">
        <v>328</v>
      </c>
      <c r="K6" s="140"/>
    </row>
    <row r="7" spans="1:11" ht="15.5">
      <c r="B7" s="136" t="s">
        <v>329</v>
      </c>
      <c r="C7" s="136" t="s">
        <v>322</v>
      </c>
      <c r="D7" s="136" t="s">
        <v>323</v>
      </c>
      <c r="E7" s="136"/>
      <c r="F7" s="137">
        <f t="shared" si="1"/>
        <v>17625.599999999999</v>
      </c>
      <c r="G7" s="138">
        <f t="shared" si="0"/>
        <v>0</v>
      </c>
      <c r="H7" s="138"/>
      <c r="I7" s="139">
        <v>4</v>
      </c>
      <c r="J7" s="142" t="s">
        <v>330</v>
      </c>
      <c r="K7" s="143" t="s">
        <v>331</v>
      </c>
    </row>
    <row r="8" spans="1:11" ht="15.5">
      <c r="B8" s="136" t="s">
        <v>332</v>
      </c>
      <c r="C8" s="136" t="s">
        <v>333</v>
      </c>
      <c r="D8" s="136" t="s">
        <v>323</v>
      </c>
      <c r="E8" s="136">
        <v>1</v>
      </c>
      <c r="F8" s="137">
        <v>10300</v>
      </c>
      <c r="G8" s="138">
        <f t="shared" si="0"/>
        <v>10300</v>
      </c>
      <c r="H8" s="138"/>
      <c r="I8" s="139">
        <v>5</v>
      </c>
      <c r="J8" s="142" t="s">
        <v>334</v>
      </c>
      <c r="K8" s="144">
        <v>1</v>
      </c>
    </row>
    <row r="9" spans="1:11" ht="15.5">
      <c r="B9" s="136" t="s">
        <v>335</v>
      </c>
      <c r="C9" s="136" t="s">
        <v>333</v>
      </c>
      <c r="D9" s="136" t="s">
        <v>323</v>
      </c>
      <c r="E9" s="136"/>
      <c r="F9" s="137">
        <f t="shared" si="1"/>
        <v>12360</v>
      </c>
      <c r="G9" s="138">
        <f t="shared" si="0"/>
        <v>12360</v>
      </c>
      <c r="H9" s="138"/>
      <c r="I9" s="139">
        <v>6</v>
      </c>
      <c r="J9" s="142" t="s">
        <v>336</v>
      </c>
      <c r="K9" s="141">
        <f>SUMIFS(F4:F29,D4:D29,K7,E4:E29,K8)</f>
        <v>41100</v>
      </c>
    </row>
    <row r="10" spans="1:11" ht="15.5">
      <c r="B10" s="136" t="s">
        <v>337</v>
      </c>
      <c r="C10" s="136" t="s">
        <v>333</v>
      </c>
      <c r="D10" s="136" t="s">
        <v>323</v>
      </c>
      <c r="E10" s="136"/>
      <c r="F10" s="137">
        <f t="shared" si="1"/>
        <v>14832</v>
      </c>
      <c r="G10" s="138">
        <f t="shared" si="0"/>
        <v>0</v>
      </c>
      <c r="H10" s="138"/>
      <c r="I10" s="139">
        <v>7</v>
      </c>
      <c r="J10" s="89"/>
      <c r="K10" s="89"/>
    </row>
    <row r="11" spans="1:11" ht="15.5">
      <c r="B11" s="136" t="s">
        <v>338</v>
      </c>
      <c r="C11" s="136" t="s">
        <v>333</v>
      </c>
      <c r="D11" s="136" t="s">
        <v>323</v>
      </c>
      <c r="E11" s="136"/>
      <c r="F11" s="137">
        <f t="shared" si="1"/>
        <v>17798.399999999998</v>
      </c>
      <c r="G11" s="138">
        <f t="shared" si="0"/>
        <v>0</v>
      </c>
      <c r="H11" s="138"/>
      <c r="I11" s="139">
        <v>8</v>
      </c>
      <c r="J11" s="145" t="s">
        <v>339</v>
      </c>
      <c r="K11" s="140"/>
    </row>
    <row r="12" spans="1:11" ht="15.5">
      <c r="B12" s="136" t="s">
        <v>340</v>
      </c>
      <c r="C12" s="136" t="s">
        <v>341</v>
      </c>
      <c r="D12" s="136" t="s">
        <v>342</v>
      </c>
      <c r="E12" s="136">
        <v>1</v>
      </c>
      <c r="F12" s="137">
        <v>10400</v>
      </c>
      <c r="G12" s="138">
        <f t="shared" si="0"/>
        <v>10400</v>
      </c>
      <c r="H12" s="138"/>
      <c r="I12" s="139">
        <v>9</v>
      </c>
      <c r="J12" s="146" t="s">
        <v>343</v>
      </c>
      <c r="K12" s="143" t="s">
        <v>344</v>
      </c>
    </row>
    <row r="13" spans="1:11" ht="15.5">
      <c r="B13" s="136" t="s">
        <v>345</v>
      </c>
      <c r="C13" s="136" t="s">
        <v>341</v>
      </c>
      <c r="D13" s="136" t="s">
        <v>342</v>
      </c>
      <c r="E13" s="136"/>
      <c r="F13" s="137">
        <f t="shared" si="1"/>
        <v>12480</v>
      </c>
      <c r="G13" s="138">
        <f t="shared" si="0"/>
        <v>12480</v>
      </c>
      <c r="H13" s="138"/>
      <c r="I13" s="139">
        <v>10</v>
      </c>
      <c r="J13" s="146" t="s">
        <v>346</v>
      </c>
      <c r="K13" s="147">
        <v>20000</v>
      </c>
    </row>
    <row r="14" spans="1:11" ht="15.5">
      <c r="B14" s="136" t="s">
        <v>347</v>
      </c>
      <c r="C14" s="136" t="s">
        <v>341</v>
      </c>
      <c r="D14" s="136" t="s">
        <v>342</v>
      </c>
      <c r="E14" s="136"/>
      <c r="F14" s="137">
        <f t="shared" si="1"/>
        <v>14976</v>
      </c>
      <c r="G14" s="138">
        <f t="shared" si="0"/>
        <v>0</v>
      </c>
      <c r="H14" s="138"/>
      <c r="I14" s="139">
        <v>11</v>
      </c>
      <c r="J14" s="146" t="s">
        <v>336</v>
      </c>
      <c r="K14" s="141">
        <f>COUNTIFS(D4:D29,K12,F4:F29,"&gt;=20000")</f>
        <v>5</v>
      </c>
    </row>
    <row r="15" spans="1:11" ht="14.5">
      <c r="B15" s="136" t="s">
        <v>348</v>
      </c>
      <c r="C15" s="136" t="s">
        <v>349</v>
      </c>
      <c r="D15" s="136" t="s">
        <v>342</v>
      </c>
      <c r="E15" s="136"/>
      <c r="F15" s="137">
        <v>20000</v>
      </c>
      <c r="G15" s="138">
        <f t="shared" si="0"/>
        <v>0</v>
      </c>
      <c r="H15" s="138"/>
    </row>
    <row r="16" spans="1:11" ht="14.5">
      <c r="B16" s="136" t="s">
        <v>350</v>
      </c>
      <c r="C16" s="136" t="s">
        <v>349</v>
      </c>
      <c r="D16" s="136" t="s">
        <v>342</v>
      </c>
      <c r="E16" s="136"/>
      <c r="F16" s="137">
        <f t="shared" si="1"/>
        <v>24000</v>
      </c>
      <c r="G16" s="138">
        <f t="shared" si="0"/>
        <v>0</v>
      </c>
      <c r="H16" s="138"/>
    </row>
    <row r="17" spans="2:8" ht="14.5">
      <c r="B17" s="136" t="s">
        <v>351</v>
      </c>
      <c r="C17" s="136" t="s">
        <v>349</v>
      </c>
      <c r="D17" s="136" t="s">
        <v>342</v>
      </c>
      <c r="E17" s="136"/>
      <c r="F17" s="137">
        <f t="shared" si="1"/>
        <v>28800</v>
      </c>
      <c r="G17" s="138">
        <f t="shared" si="0"/>
        <v>0</v>
      </c>
      <c r="H17" s="138"/>
    </row>
    <row r="18" spans="2:8" ht="14.5">
      <c r="B18" s="136" t="s">
        <v>352</v>
      </c>
      <c r="C18" s="136" t="s">
        <v>349</v>
      </c>
      <c r="D18" s="136" t="s">
        <v>342</v>
      </c>
      <c r="E18" s="136"/>
      <c r="F18" s="137">
        <f t="shared" si="1"/>
        <v>34560</v>
      </c>
      <c r="G18" s="138">
        <f t="shared" si="0"/>
        <v>0</v>
      </c>
      <c r="H18" s="138" t="str">
        <f>CONCATENATE(C18,D18)</f>
        <v>BU_4VC_B</v>
      </c>
    </row>
    <row r="19" spans="2:8" ht="14.5">
      <c r="B19" s="136" t="s">
        <v>353</v>
      </c>
      <c r="C19" s="136" t="s">
        <v>354</v>
      </c>
      <c r="D19" s="136" t="s">
        <v>342</v>
      </c>
      <c r="E19" s="136"/>
      <c r="F19" s="137">
        <f t="shared" si="1"/>
        <v>41472</v>
      </c>
      <c r="G19" s="138">
        <f t="shared" si="0"/>
        <v>0</v>
      </c>
      <c r="H19" s="138"/>
    </row>
    <row r="20" spans="2:8" ht="14.5">
      <c r="B20" s="136" t="s">
        <v>355</v>
      </c>
      <c r="C20" s="136" t="s">
        <v>356</v>
      </c>
      <c r="D20" s="136" t="s">
        <v>331</v>
      </c>
      <c r="E20" s="136"/>
      <c r="F20" s="137">
        <f t="shared" si="1"/>
        <v>49766.400000000001</v>
      </c>
      <c r="G20" s="138">
        <f t="shared" si="0"/>
        <v>0</v>
      </c>
      <c r="H20" s="138"/>
    </row>
    <row r="21" spans="2:8" ht="14.5">
      <c r="B21" s="136" t="s">
        <v>357</v>
      </c>
      <c r="C21" s="136" t="s">
        <v>356</v>
      </c>
      <c r="D21" s="136" t="s">
        <v>331</v>
      </c>
      <c r="E21" s="136">
        <v>1</v>
      </c>
      <c r="F21" s="137">
        <v>10500</v>
      </c>
      <c r="G21" s="138">
        <f t="shared" si="0"/>
        <v>10500</v>
      </c>
      <c r="H21" s="138"/>
    </row>
    <row r="22" spans="2:8" ht="14.5">
      <c r="B22" s="136" t="s">
        <v>358</v>
      </c>
      <c r="C22" s="136" t="s">
        <v>356</v>
      </c>
      <c r="D22" s="136" t="s">
        <v>331</v>
      </c>
      <c r="E22" s="136"/>
      <c r="F22" s="137">
        <f>F7*1.2</f>
        <v>21150.719999999998</v>
      </c>
      <c r="G22" s="138">
        <f t="shared" si="0"/>
        <v>0</v>
      </c>
      <c r="H22" s="138"/>
    </row>
    <row r="23" spans="2:8" ht="14.5">
      <c r="B23" s="136" t="s">
        <v>359</v>
      </c>
      <c r="C23" s="136" t="s">
        <v>356</v>
      </c>
      <c r="D23" s="136" t="s">
        <v>331</v>
      </c>
      <c r="E23" s="136"/>
      <c r="F23" s="137">
        <f t="shared" ref="F23:F27" si="2">F22*1.2</f>
        <v>25380.863999999998</v>
      </c>
      <c r="G23" s="138">
        <f t="shared" si="0"/>
        <v>0</v>
      </c>
      <c r="H23" s="138"/>
    </row>
    <row r="24" spans="2:8" ht="14.5">
      <c r="B24" s="136" t="s">
        <v>360</v>
      </c>
      <c r="C24" s="136" t="s">
        <v>361</v>
      </c>
      <c r="D24" s="136" t="s">
        <v>331</v>
      </c>
      <c r="E24" s="136"/>
      <c r="F24" s="137">
        <f t="shared" si="2"/>
        <v>30457.036799999994</v>
      </c>
      <c r="G24" s="138">
        <f t="shared" si="0"/>
        <v>0</v>
      </c>
      <c r="H24" s="138"/>
    </row>
    <row r="25" spans="2:8" ht="14.5">
      <c r="B25" s="136" t="s">
        <v>362</v>
      </c>
      <c r="C25" s="136" t="s">
        <v>361</v>
      </c>
      <c r="D25" s="136" t="s">
        <v>331</v>
      </c>
      <c r="E25" s="136">
        <v>1</v>
      </c>
      <c r="F25" s="137">
        <v>10200</v>
      </c>
      <c r="G25" s="138">
        <f t="shared" si="0"/>
        <v>10200</v>
      </c>
      <c r="H25" s="138"/>
    </row>
    <row r="26" spans="2:8" ht="14.5">
      <c r="B26" s="136" t="s">
        <v>363</v>
      </c>
      <c r="C26" s="136" t="s">
        <v>361</v>
      </c>
      <c r="D26" s="136" t="s">
        <v>331</v>
      </c>
      <c r="E26" s="136"/>
      <c r="F26" s="137">
        <f t="shared" si="2"/>
        <v>12240</v>
      </c>
      <c r="G26" s="138">
        <f t="shared" si="0"/>
        <v>12240</v>
      </c>
      <c r="H26" s="138"/>
    </row>
    <row r="27" spans="2:8" ht="14.5">
      <c r="B27" s="136" t="s">
        <v>364</v>
      </c>
      <c r="C27" s="136" t="s">
        <v>361</v>
      </c>
      <c r="D27" s="136" t="s">
        <v>331</v>
      </c>
      <c r="E27" s="136"/>
      <c r="F27" s="137">
        <f t="shared" si="2"/>
        <v>14688</v>
      </c>
      <c r="G27" s="138">
        <f t="shared" si="0"/>
        <v>0</v>
      </c>
      <c r="H27" s="138"/>
    </row>
    <row r="28" spans="2:8" ht="14.5">
      <c r="B28" s="136" t="s">
        <v>365</v>
      </c>
      <c r="C28" s="136" t="s">
        <v>366</v>
      </c>
      <c r="D28" s="136" t="s">
        <v>331</v>
      </c>
      <c r="E28" s="136">
        <v>1</v>
      </c>
      <c r="F28" s="137">
        <v>10100</v>
      </c>
      <c r="G28" s="138">
        <f t="shared" si="0"/>
        <v>10100</v>
      </c>
      <c r="H28" s="138"/>
    </row>
    <row r="29" spans="2:8" ht="14.5">
      <c r="B29" s="136" t="s">
        <v>367</v>
      </c>
      <c r="C29" s="136" t="s">
        <v>366</v>
      </c>
      <c r="D29" s="136" t="s">
        <v>331</v>
      </c>
      <c r="E29" s="136">
        <v>1</v>
      </c>
      <c r="F29" s="137">
        <v>10300</v>
      </c>
      <c r="G29" s="138">
        <f t="shared" si="0"/>
        <v>10300</v>
      </c>
      <c r="H29" s="138"/>
    </row>
    <row r="30" spans="2:8">
      <c r="G30" s="148">
        <f>SUM(G4:G29)</f>
        <v>121320</v>
      </c>
    </row>
  </sheetData>
  <autoFilter ref="B3:K30" xr:uid="{ED6C2B1F-9BE0-4946-86F6-3E077018B40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AC717-C440-46A9-9061-B23A188554FA}">
  <dimension ref="A1:J29"/>
  <sheetViews>
    <sheetView zoomScale="110" zoomScaleNormal="110" workbookViewId="0">
      <selection sqref="A1:E1"/>
    </sheetView>
  </sheetViews>
  <sheetFormatPr defaultColWidth="8.7265625" defaultRowHeight="12.5"/>
  <cols>
    <col min="1" max="1" width="14.453125" style="79" customWidth="1"/>
    <col min="2" max="2" width="27.81640625" style="79" bestFit="1" customWidth="1"/>
    <col min="3" max="3" width="12.54296875" style="79" customWidth="1"/>
    <col min="4" max="4" width="3.1796875" style="79" customWidth="1"/>
    <col min="5" max="5" width="11.81640625" style="79" customWidth="1"/>
    <col min="6" max="6" width="10.54296875" style="79" customWidth="1"/>
    <col min="7" max="7" width="14.54296875" style="79" customWidth="1"/>
    <col min="8" max="8" width="10.81640625" style="79" bestFit="1" customWidth="1"/>
    <col min="9" max="9" width="20.453125" style="79" bestFit="1" customWidth="1"/>
    <col min="10" max="10" width="23.1796875" style="79" bestFit="1" customWidth="1"/>
    <col min="11" max="16384" width="8.7265625" style="79"/>
  </cols>
  <sheetData>
    <row r="1" spans="1:10" ht="17.5" thickBot="1">
      <c r="A1" s="272" t="s">
        <v>368</v>
      </c>
      <c r="B1" s="273"/>
      <c r="C1" s="273"/>
      <c r="D1" s="273"/>
      <c r="E1" s="274"/>
    </row>
    <row r="3" spans="1:10" ht="14.5">
      <c r="A3" s="149" t="s">
        <v>369</v>
      </c>
      <c r="B3" s="149" t="s">
        <v>3</v>
      </c>
      <c r="C3" s="149" t="s">
        <v>370</v>
      </c>
      <c r="D3" s="150"/>
      <c r="E3" s="151" t="s">
        <v>371</v>
      </c>
      <c r="F3" s="151" t="s">
        <v>372</v>
      </c>
      <c r="G3" s="151" t="s">
        <v>373</v>
      </c>
      <c r="H3" s="152" t="s">
        <v>374</v>
      </c>
      <c r="I3" s="152" t="s">
        <v>375</v>
      </c>
      <c r="J3" s="152" t="s">
        <v>376</v>
      </c>
    </row>
    <row r="4" spans="1:10" ht="14.5">
      <c r="A4" s="153" t="s">
        <v>377</v>
      </c>
      <c r="B4" s="154" t="s">
        <v>378</v>
      </c>
      <c r="C4" s="155">
        <v>13.65</v>
      </c>
      <c r="D4" s="156"/>
      <c r="E4" s="157" t="str">
        <f>LEFT(A4,3)</f>
        <v>ACM</v>
      </c>
      <c r="F4" s="157" t="str">
        <f>MID(A4,4,3)</f>
        <v>110</v>
      </c>
      <c r="G4" s="158" t="str">
        <f>RIGHT(A4,2)</f>
        <v>WW</v>
      </c>
      <c r="H4" s="159">
        <f>LEN(B4)</f>
        <v>22</v>
      </c>
      <c r="I4" s="159" t="str">
        <f>LOWER(B4)</f>
        <v>windshield wipers #110</v>
      </c>
      <c r="J4" s="159" t="str">
        <f>UPPER(B4)</f>
        <v>WINDSHIELD WIPERS #110</v>
      </c>
    </row>
    <row r="5" spans="1:10" ht="14.5">
      <c r="A5" s="153" t="s">
        <v>379</v>
      </c>
      <c r="B5" s="154" t="s">
        <v>380</v>
      </c>
      <c r="C5" s="155">
        <v>12.19</v>
      </c>
      <c r="D5" s="156"/>
      <c r="E5" s="157" t="str">
        <f t="shared" ref="E5:E27" si="0">LEFT(A5,3)</f>
        <v>ACM</v>
      </c>
      <c r="F5" s="157" t="str">
        <f t="shared" ref="F5:F27" si="1">MID(A5,4,3)</f>
        <v>111</v>
      </c>
      <c r="G5" s="158" t="str">
        <f t="shared" ref="G5:G27" si="2">RIGHT(A5,2)</f>
        <v>Wq</v>
      </c>
      <c r="H5" s="159">
        <f t="shared" ref="H5:H27" si="3">LEN(B5)</f>
        <v>22</v>
      </c>
      <c r="I5" s="159" t="str">
        <f t="shared" ref="I5:I27" si="4">LOWER(B5)</f>
        <v>windshield wipers #111</v>
      </c>
      <c r="J5" s="159" t="str">
        <f t="shared" ref="J5:J27" si="5">UPPER(B5)</f>
        <v>WINDSHIELD WIPERS #111</v>
      </c>
    </row>
    <row r="6" spans="1:10" ht="14.5">
      <c r="A6" s="153" t="s">
        <v>381</v>
      </c>
      <c r="B6" s="154" t="s">
        <v>382</v>
      </c>
      <c r="C6" s="155">
        <v>10.89</v>
      </c>
      <c r="D6" s="156"/>
      <c r="E6" s="157" t="str">
        <f t="shared" si="0"/>
        <v>ACM</v>
      </c>
      <c r="F6" s="157" t="str">
        <f t="shared" si="1"/>
        <v>150</v>
      </c>
      <c r="G6" s="158" t="str">
        <f t="shared" si="2"/>
        <v>WW</v>
      </c>
      <c r="H6" s="159">
        <f t="shared" si="3"/>
        <v>22</v>
      </c>
      <c r="I6" s="159" t="str">
        <f t="shared" si="4"/>
        <v>windshield wipers #150</v>
      </c>
      <c r="J6" s="159" t="str">
        <f t="shared" si="5"/>
        <v>WINDSHIELD WIPERS #150</v>
      </c>
    </row>
    <row r="7" spans="1:10" ht="14.5">
      <c r="A7" s="153" t="s">
        <v>383</v>
      </c>
      <c r="B7" s="154" t="s">
        <v>384</v>
      </c>
      <c r="C7" s="155">
        <v>9.75</v>
      </c>
      <c r="D7" s="156"/>
      <c r="E7" s="157" t="str">
        <f t="shared" si="0"/>
        <v>ACM</v>
      </c>
      <c r="F7" s="157" t="str">
        <f t="shared" si="1"/>
        <v>321</v>
      </c>
      <c r="G7" s="158" t="str">
        <f t="shared" si="2"/>
        <v>DP</v>
      </c>
      <c r="H7" s="159">
        <f t="shared" si="3"/>
        <v>15</v>
      </c>
      <c r="I7" s="159" t="str">
        <f t="shared" si="4"/>
        <v>drain plug #321</v>
      </c>
      <c r="J7" s="159" t="str">
        <f t="shared" si="5"/>
        <v>DRAIN PLUG #321</v>
      </c>
    </row>
    <row r="8" spans="1:10" ht="14.5">
      <c r="A8" s="153" t="s">
        <v>385</v>
      </c>
      <c r="B8" s="154" t="s">
        <v>386</v>
      </c>
      <c r="C8" s="155">
        <v>9.59</v>
      </c>
      <c r="D8" s="156"/>
      <c r="E8" s="157" t="str">
        <f t="shared" si="0"/>
        <v>ACM</v>
      </c>
      <c r="F8" s="157" t="str">
        <f t="shared" si="1"/>
        <v>322</v>
      </c>
      <c r="G8" s="158" t="str">
        <f t="shared" si="2"/>
        <v>DP</v>
      </c>
      <c r="H8" s="159">
        <f t="shared" si="3"/>
        <v>15</v>
      </c>
      <c r="I8" s="159" t="str">
        <f t="shared" si="4"/>
        <v>drain plug #322</v>
      </c>
      <c r="J8" s="159" t="str">
        <f t="shared" si="5"/>
        <v>DRAIN PLUG #322</v>
      </c>
    </row>
    <row r="9" spans="1:10" ht="14.5">
      <c r="A9" s="153" t="s">
        <v>387</v>
      </c>
      <c r="B9" s="154" t="s">
        <v>388</v>
      </c>
      <c r="C9" s="155">
        <v>10.4</v>
      </c>
      <c r="D9" s="156"/>
      <c r="E9" s="157" t="str">
        <f t="shared" si="0"/>
        <v>ACM</v>
      </c>
      <c r="F9" s="157" t="str">
        <f t="shared" si="1"/>
        <v>325</v>
      </c>
      <c r="G9" s="158" t="str">
        <f t="shared" si="2"/>
        <v>DP</v>
      </c>
      <c r="H9" s="159">
        <f t="shared" si="3"/>
        <v>15</v>
      </c>
      <c r="I9" s="159" t="str">
        <f t="shared" si="4"/>
        <v>drain plug #325</v>
      </c>
      <c r="J9" s="159" t="str">
        <f t="shared" si="5"/>
        <v>DRAIN PLUG #325</v>
      </c>
    </row>
    <row r="10" spans="1:10" ht="14.5">
      <c r="A10" s="153" t="s">
        <v>389</v>
      </c>
      <c r="B10" s="154" t="s">
        <v>390</v>
      </c>
      <c r="C10" s="155">
        <v>10.56</v>
      </c>
      <c r="D10" s="156"/>
      <c r="E10" s="157" t="str">
        <f t="shared" si="0"/>
        <v>ACM</v>
      </c>
      <c r="F10" s="157" t="str">
        <f t="shared" si="1"/>
        <v>330</v>
      </c>
      <c r="G10" s="158" t="str">
        <f t="shared" si="2"/>
        <v>DP</v>
      </c>
      <c r="H10" s="159">
        <f t="shared" si="3"/>
        <v>15</v>
      </c>
      <c r="I10" s="159" t="str">
        <f t="shared" si="4"/>
        <v>drain plug #330</v>
      </c>
      <c r="J10" s="159" t="str">
        <f t="shared" si="5"/>
        <v>DRAIN PLUG #330</v>
      </c>
    </row>
    <row r="11" spans="1:10" ht="14.5">
      <c r="A11" s="153" t="s">
        <v>391</v>
      </c>
      <c r="B11" s="154" t="s">
        <v>392</v>
      </c>
      <c r="C11" s="155">
        <v>9.75</v>
      </c>
      <c r="D11" s="156"/>
      <c r="E11" s="157" t="str">
        <f t="shared" si="0"/>
        <v>ACM</v>
      </c>
      <c r="F11" s="157" t="str">
        <f t="shared" si="1"/>
        <v>450</v>
      </c>
      <c r="G11" s="158" t="str">
        <f t="shared" si="2"/>
        <v>DP</v>
      </c>
      <c r="H11" s="159">
        <f t="shared" si="3"/>
        <v>15</v>
      </c>
      <c r="I11" s="159" t="str">
        <f t="shared" si="4"/>
        <v>drain plug #450</v>
      </c>
      <c r="J11" s="159" t="str">
        <f t="shared" si="5"/>
        <v>DRAIN PLUG #450</v>
      </c>
    </row>
    <row r="12" spans="1:10" ht="14.5">
      <c r="A12" s="153" t="s">
        <v>393</v>
      </c>
      <c r="B12" s="154" t="s">
        <v>394</v>
      </c>
      <c r="C12" s="155">
        <v>9.75</v>
      </c>
      <c r="D12" s="156"/>
      <c r="E12" s="157" t="str">
        <f t="shared" si="0"/>
        <v>ACM</v>
      </c>
      <c r="F12" s="157" t="str">
        <f t="shared" si="1"/>
        <v>460</v>
      </c>
      <c r="G12" s="158" t="str">
        <f t="shared" si="2"/>
        <v>DP</v>
      </c>
      <c r="H12" s="159">
        <f t="shared" si="3"/>
        <v>15</v>
      </c>
      <c r="I12" s="159" t="str">
        <f t="shared" si="4"/>
        <v>drain plug #460</v>
      </c>
      <c r="J12" s="159" t="str">
        <f t="shared" si="5"/>
        <v>DRAIN PLUG #460</v>
      </c>
    </row>
    <row r="13" spans="1:10" ht="14.5">
      <c r="A13" s="153" t="s">
        <v>395</v>
      </c>
      <c r="B13" s="154" t="s">
        <v>396</v>
      </c>
      <c r="C13" s="155">
        <v>4.0599999999999996</v>
      </c>
      <c r="D13" s="156"/>
      <c r="E13" s="157" t="str">
        <f t="shared" si="0"/>
        <v>AST</v>
      </c>
      <c r="F13" s="157" t="str">
        <f t="shared" si="1"/>
        <v>530</v>
      </c>
      <c r="G13" s="158" t="str">
        <f t="shared" si="2"/>
        <v>OL</v>
      </c>
      <c r="H13" s="159">
        <f t="shared" si="3"/>
        <v>4</v>
      </c>
      <c r="I13" s="159" t="str">
        <f t="shared" si="4"/>
        <v>5w30</v>
      </c>
      <c r="J13" s="159" t="str">
        <f t="shared" si="5"/>
        <v>5W30</v>
      </c>
    </row>
    <row r="14" spans="1:10" ht="14.5">
      <c r="A14" s="153" t="s">
        <v>397</v>
      </c>
      <c r="B14" s="154" t="s">
        <v>398</v>
      </c>
      <c r="C14" s="155">
        <v>5.04</v>
      </c>
      <c r="D14" s="156"/>
      <c r="E14" s="157" t="str">
        <f t="shared" si="0"/>
        <v>AST</v>
      </c>
      <c r="F14" s="157" t="str">
        <f t="shared" si="1"/>
        <v>100</v>
      </c>
      <c r="G14" s="158" t="str">
        <f t="shared" si="2"/>
        <v>TF</v>
      </c>
      <c r="H14" s="159">
        <f t="shared" si="3"/>
        <v>28</v>
      </c>
      <c r="I14" s="159" t="str">
        <f t="shared" si="4"/>
        <v>automatic transmission fluid</v>
      </c>
      <c r="J14" s="159" t="str">
        <f t="shared" si="5"/>
        <v>AUTOMATIC TRANSMISSION FLUID</v>
      </c>
    </row>
    <row r="15" spans="1:10" ht="14.5">
      <c r="A15" s="153" t="s">
        <v>399</v>
      </c>
      <c r="B15" s="154" t="s">
        <v>400</v>
      </c>
      <c r="C15" s="155">
        <v>3.9</v>
      </c>
      <c r="D15" s="156"/>
      <c r="E15" s="157" t="str">
        <f t="shared" si="0"/>
        <v>AST</v>
      </c>
      <c r="F15" s="157" t="str">
        <f t="shared" si="1"/>
        <v>130</v>
      </c>
      <c r="G15" s="158" t="str">
        <f t="shared" si="2"/>
        <v>OL</v>
      </c>
      <c r="H15" s="159">
        <f t="shared" si="3"/>
        <v>5</v>
      </c>
      <c r="I15" s="159" t="str">
        <f t="shared" si="4"/>
        <v>10w30</v>
      </c>
      <c r="J15" s="159" t="str">
        <f t="shared" si="5"/>
        <v>10W30</v>
      </c>
    </row>
    <row r="16" spans="1:10" ht="14.5">
      <c r="A16" s="153" t="s">
        <v>401</v>
      </c>
      <c r="B16" s="154" t="s">
        <v>402</v>
      </c>
      <c r="C16" s="155">
        <v>4.55</v>
      </c>
      <c r="D16" s="156"/>
      <c r="E16" s="157" t="str">
        <f t="shared" si="0"/>
        <v>AST</v>
      </c>
      <c r="F16" s="157" t="str">
        <f t="shared" si="1"/>
        <v>140</v>
      </c>
      <c r="G16" s="158" t="str">
        <f t="shared" si="2"/>
        <v>OL</v>
      </c>
      <c r="H16" s="159">
        <f t="shared" si="3"/>
        <v>5</v>
      </c>
      <c r="I16" s="159" t="str">
        <f t="shared" si="4"/>
        <v>10w40</v>
      </c>
      <c r="J16" s="159" t="str">
        <f t="shared" si="5"/>
        <v>10W40</v>
      </c>
    </row>
    <row r="17" spans="1:10" ht="14.5">
      <c r="A17" s="153" t="s">
        <v>403</v>
      </c>
      <c r="B17" s="154" t="s">
        <v>404</v>
      </c>
      <c r="C17" s="155">
        <v>5.2</v>
      </c>
      <c r="D17" s="156"/>
      <c r="E17" s="157" t="str">
        <f t="shared" si="0"/>
        <v>AST</v>
      </c>
      <c r="F17" s="157" t="str">
        <f t="shared" si="1"/>
        <v>300</v>
      </c>
      <c r="G17" s="158" t="str">
        <f t="shared" si="2"/>
        <v>GO</v>
      </c>
      <c r="H17" s="159">
        <f t="shared" si="3"/>
        <v>8</v>
      </c>
      <c r="I17" s="159" t="str">
        <f t="shared" si="4"/>
        <v>gear oil</v>
      </c>
      <c r="J17" s="159" t="str">
        <f t="shared" si="5"/>
        <v>GEAR OIL</v>
      </c>
    </row>
    <row r="18" spans="1:10" ht="14.5">
      <c r="A18" s="153" t="s">
        <v>405</v>
      </c>
      <c r="B18" s="154" t="s">
        <v>406</v>
      </c>
      <c r="C18" s="155">
        <v>7.31</v>
      </c>
      <c r="D18" s="156"/>
      <c r="E18" s="157" t="str">
        <f t="shared" si="0"/>
        <v>AST</v>
      </c>
      <c r="F18" s="157" t="str">
        <f t="shared" si="1"/>
        <v>121</v>
      </c>
      <c r="G18" s="158" t="str">
        <f t="shared" si="2"/>
        <v>BF</v>
      </c>
      <c r="H18" s="159">
        <f t="shared" si="3"/>
        <v>11</v>
      </c>
      <c r="I18" s="159" t="str">
        <f t="shared" si="4"/>
        <v>brake fluid</v>
      </c>
      <c r="J18" s="159" t="str">
        <f t="shared" si="5"/>
        <v>BRAKE FLUID</v>
      </c>
    </row>
    <row r="19" spans="1:10" ht="14.5">
      <c r="A19" s="153" t="s">
        <v>407</v>
      </c>
      <c r="B19" s="154" t="s">
        <v>408</v>
      </c>
      <c r="C19" s="155">
        <v>6.5</v>
      </c>
      <c r="D19" s="156"/>
      <c r="E19" s="157" t="str">
        <f t="shared" si="0"/>
        <v>AST</v>
      </c>
      <c r="F19" s="157" t="str">
        <f t="shared" si="1"/>
        <v>132</v>
      </c>
      <c r="G19" s="158" t="str">
        <f t="shared" si="2"/>
        <v>PS</v>
      </c>
      <c r="H19" s="159">
        <f t="shared" si="3"/>
        <v>20</v>
      </c>
      <c r="I19" s="159" t="str">
        <f t="shared" si="4"/>
        <v>power steering fluid</v>
      </c>
      <c r="J19" s="159" t="str">
        <f t="shared" si="5"/>
        <v>POWER STEERING FLUID</v>
      </c>
    </row>
    <row r="20" spans="1:10" ht="14.5">
      <c r="A20" s="153" t="s">
        <v>409</v>
      </c>
      <c r="B20" s="154" t="s">
        <v>410</v>
      </c>
      <c r="C20" s="155">
        <v>4.55</v>
      </c>
      <c r="D20" s="156"/>
      <c r="E20" s="157" t="str">
        <f t="shared" si="0"/>
        <v>AST</v>
      </c>
      <c r="F20" s="157" t="str">
        <f t="shared" si="1"/>
        <v>205</v>
      </c>
      <c r="G20" s="158" t="str">
        <f t="shared" si="2"/>
        <v>95</v>
      </c>
      <c r="H20" s="159">
        <f t="shared" si="3"/>
        <v>5</v>
      </c>
      <c r="I20" s="159" t="str">
        <f t="shared" si="4"/>
        <v>20w50</v>
      </c>
      <c r="J20" s="159" t="str">
        <f t="shared" si="5"/>
        <v>20W50</v>
      </c>
    </row>
    <row r="21" spans="1:10" ht="14.5">
      <c r="A21" s="153" t="s">
        <v>411</v>
      </c>
      <c r="B21" s="154" t="s">
        <v>412</v>
      </c>
      <c r="C21" s="155">
        <v>14.3</v>
      </c>
      <c r="D21" s="156"/>
      <c r="E21" s="157" t="str">
        <f t="shared" si="0"/>
        <v>BVR</v>
      </c>
      <c r="F21" s="157" t="str">
        <f t="shared" si="1"/>
        <v>590</v>
      </c>
      <c r="G21" s="158" t="str">
        <f t="shared" si="2"/>
        <v>WF</v>
      </c>
      <c r="H21" s="159">
        <f t="shared" si="3"/>
        <v>23</v>
      </c>
      <c r="I21" s="159" t="str">
        <f t="shared" si="4"/>
        <v>windshield washer fluid</v>
      </c>
      <c r="J21" s="159" t="str">
        <f t="shared" si="5"/>
        <v>WINDSHIELD WASHER FLUID</v>
      </c>
    </row>
    <row r="22" spans="1:10" ht="14.5">
      <c r="A22" s="153" t="s">
        <v>413</v>
      </c>
      <c r="B22" s="154" t="s">
        <v>414</v>
      </c>
      <c r="C22" s="155">
        <v>13.81</v>
      </c>
      <c r="D22" s="156"/>
      <c r="E22" s="157" t="str">
        <f t="shared" si="0"/>
        <v>BVR</v>
      </c>
      <c r="F22" s="157" t="str">
        <f t="shared" si="1"/>
        <v>690</v>
      </c>
      <c r="G22" s="158" t="str">
        <f t="shared" si="2"/>
        <v>AF</v>
      </c>
      <c r="H22" s="159">
        <f t="shared" si="3"/>
        <v>11</v>
      </c>
      <c r="I22" s="159" t="str">
        <f t="shared" si="4"/>
        <v>anti-freeze</v>
      </c>
      <c r="J22" s="159" t="str">
        <f t="shared" si="5"/>
        <v>ANTI-FREEZE</v>
      </c>
    </row>
    <row r="23" spans="1:10" ht="14.5">
      <c r="A23" s="153" t="s">
        <v>415</v>
      </c>
      <c r="B23" s="154" t="s">
        <v>416</v>
      </c>
      <c r="C23" s="155">
        <v>7.31</v>
      </c>
      <c r="D23" s="156"/>
      <c r="E23" s="157" t="str">
        <f t="shared" si="0"/>
        <v>TRA</v>
      </c>
      <c r="F23" s="157" t="str">
        <f t="shared" si="1"/>
        <v>203</v>
      </c>
      <c r="G23" s="158" t="str">
        <f t="shared" si="2"/>
        <v>OF</v>
      </c>
      <c r="H23" s="159">
        <f t="shared" si="3"/>
        <v>15</v>
      </c>
      <c r="I23" s="159" t="str">
        <f t="shared" si="4"/>
        <v>oil filter #203</v>
      </c>
      <c r="J23" s="159" t="str">
        <f t="shared" si="5"/>
        <v>OIL FILTER #203</v>
      </c>
    </row>
    <row r="24" spans="1:10" ht="14.5">
      <c r="A24" s="153" t="s">
        <v>417</v>
      </c>
      <c r="B24" s="154" t="s">
        <v>418</v>
      </c>
      <c r="C24" s="155">
        <v>7.31</v>
      </c>
      <c r="D24" s="156"/>
      <c r="E24" s="157" t="str">
        <f t="shared" si="0"/>
        <v>TRA</v>
      </c>
      <c r="F24" s="157" t="str">
        <f t="shared" si="1"/>
        <v>205</v>
      </c>
      <c r="G24" s="158" t="str">
        <f t="shared" si="2"/>
        <v>OF</v>
      </c>
      <c r="H24" s="159">
        <f t="shared" si="3"/>
        <v>15</v>
      </c>
      <c r="I24" s="159" t="str">
        <f t="shared" si="4"/>
        <v>oil filter #205</v>
      </c>
      <c r="J24" s="159" t="str">
        <f t="shared" si="5"/>
        <v>OIL FILTER #205</v>
      </c>
    </row>
    <row r="25" spans="1:10" ht="14.5">
      <c r="A25" s="153" t="s">
        <v>419</v>
      </c>
      <c r="B25" s="154" t="s">
        <v>420</v>
      </c>
      <c r="C25" s="155">
        <v>7.31</v>
      </c>
      <c r="D25" s="156"/>
      <c r="E25" s="157" t="str">
        <f t="shared" si="0"/>
        <v>TRA</v>
      </c>
      <c r="F25" s="157" t="str">
        <f t="shared" si="1"/>
        <v>207</v>
      </c>
      <c r="G25" s="158" t="str">
        <f t="shared" si="2"/>
        <v>OF</v>
      </c>
      <c r="H25" s="159">
        <f t="shared" si="3"/>
        <v>15</v>
      </c>
      <c r="I25" s="159" t="str">
        <f t="shared" si="4"/>
        <v>oil filter #207</v>
      </c>
      <c r="J25" s="159" t="str">
        <f t="shared" si="5"/>
        <v>OIL FILTER #207</v>
      </c>
    </row>
    <row r="26" spans="1:10" ht="14.5">
      <c r="A26" s="153" t="s">
        <v>421</v>
      </c>
      <c r="B26" s="154" t="s">
        <v>422</v>
      </c>
      <c r="C26" s="155">
        <v>7.64</v>
      </c>
      <c r="D26" s="156"/>
      <c r="E26" s="157" t="str">
        <f t="shared" si="0"/>
        <v>TRA</v>
      </c>
      <c r="F26" s="157" t="str">
        <f t="shared" si="1"/>
        <v>310</v>
      </c>
      <c r="G26" s="158" t="str">
        <f t="shared" si="2"/>
        <v>OF</v>
      </c>
      <c r="H26" s="159">
        <f t="shared" si="3"/>
        <v>15</v>
      </c>
      <c r="I26" s="159" t="str">
        <f t="shared" si="4"/>
        <v>oil filter #310</v>
      </c>
      <c r="J26" s="159" t="str">
        <f t="shared" si="5"/>
        <v>OIL FILTER #310</v>
      </c>
    </row>
    <row r="27" spans="1:10" ht="14.5">
      <c r="A27" s="153" t="s">
        <v>423</v>
      </c>
      <c r="B27" s="154" t="s">
        <v>424</v>
      </c>
      <c r="C27" s="155">
        <v>6.14</v>
      </c>
      <c r="D27" s="156"/>
      <c r="E27" s="157" t="str">
        <f t="shared" si="0"/>
        <v>TRA</v>
      </c>
      <c r="F27" s="157" t="str">
        <f t="shared" si="1"/>
        <v>610</v>
      </c>
      <c r="G27" s="158" t="str">
        <f t="shared" si="2"/>
        <v>OF</v>
      </c>
      <c r="H27" s="159">
        <f t="shared" si="3"/>
        <v>15</v>
      </c>
      <c r="I27" s="159" t="str">
        <f t="shared" si="4"/>
        <v>oil filter #610</v>
      </c>
      <c r="J27" s="159" t="str">
        <f t="shared" si="5"/>
        <v>OIL FILTER #610</v>
      </c>
    </row>
    <row r="29" spans="1:10" ht="14.5">
      <c r="B29" s="160" t="s">
        <v>425</v>
      </c>
    </row>
  </sheetData>
  <mergeCells count="1">
    <mergeCell ref="A1:E1"/>
  </mergeCell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323D-8D53-455D-8D67-C535C72A1E25}">
  <dimension ref="A1:N54"/>
  <sheetViews>
    <sheetView showGridLines="0" zoomScaleNormal="100" workbookViewId="0"/>
  </sheetViews>
  <sheetFormatPr defaultColWidth="8.7265625" defaultRowHeight="12.5"/>
  <cols>
    <col min="1" max="1" width="8.7265625" style="79"/>
    <col min="2" max="2" width="27.1796875" style="79" customWidth="1"/>
    <col min="3" max="3" width="12.1796875" style="79" customWidth="1"/>
    <col min="4" max="4" width="5.1796875" style="79" customWidth="1"/>
    <col min="5" max="5" width="22.453125" style="79" customWidth="1"/>
    <col min="6" max="6" width="20.1796875" style="79" customWidth="1"/>
    <col min="7" max="7" width="21" style="79" customWidth="1"/>
    <col min="8" max="8" width="8.54296875" style="79" customWidth="1"/>
    <col min="9" max="9" width="18.81640625" style="79" customWidth="1"/>
    <col min="10" max="10" width="18" style="79" customWidth="1"/>
    <col min="11" max="16384" width="8.7265625" style="79"/>
  </cols>
  <sheetData>
    <row r="1" spans="1:14" ht="19.5">
      <c r="A1" s="161" t="s">
        <v>426</v>
      </c>
      <c r="B1" s="162"/>
    </row>
    <row r="4" spans="1:14" ht="15.5">
      <c r="E4" s="163" t="s">
        <v>427</v>
      </c>
      <c r="F4" s="163" t="s">
        <v>428</v>
      </c>
      <c r="G4" s="163" t="s">
        <v>429</v>
      </c>
    </row>
    <row r="5" spans="1:14" ht="14.25" customHeight="1">
      <c r="B5" s="164" t="s">
        <v>430</v>
      </c>
      <c r="C5" s="164" t="s">
        <v>431</v>
      </c>
      <c r="E5" s="165" t="s">
        <v>432</v>
      </c>
      <c r="F5" s="165" t="s">
        <v>432</v>
      </c>
      <c r="G5" s="166" t="s">
        <v>433</v>
      </c>
    </row>
    <row r="6" spans="1:14" ht="14.25" customHeight="1">
      <c r="B6" s="167" t="s">
        <v>147</v>
      </c>
      <c r="C6" s="167" t="s">
        <v>144</v>
      </c>
      <c r="E6" s="168" t="str">
        <f>CONCATENATE(C6," ",B6)</f>
        <v>Howard Smith</v>
      </c>
      <c r="F6" s="168" t="str">
        <f>_xlfn.TEXTJOIN(" ",TRUE,B6,C6)</f>
        <v>Smith Howard</v>
      </c>
      <c r="G6" s="168" t="str">
        <f>_xlfn.ARRAYTOTEXT(B6:B9,0)</f>
        <v>Smith, Gonzales, Scote, Kane</v>
      </c>
    </row>
    <row r="7" spans="1:14" ht="14.25" customHeight="1">
      <c r="B7" s="167" t="s">
        <v>434</v>
      </c>
      <c r="C7" s="167" t="s">
        <v>435</v>
      </c>
      <c r="E7" s="168" t="str">
        <f t="shared" ref="E7:E21" si="0">CONCATENATE(C7," ",B7)</f>
        <v>Joe Gonzales</v>
      </c>
      <c r="F7" s="168" t="str">
        <f t="shared" ref="F7:F21" si="1">_xlfn.TEXTJOIN(" ",TRUE,B7,C7)</f>
        <v>Gonzales Joe</v>
      </c>
      <c r="G7" s="89"/>
    </row>
    <row r="8" spans="1:14" ht="14.25" customHeight="1">
      <c r="B8" s="167" t="s">
        <v>436</v>
      </c>
      <c r="C8" s="167" t="s">
        <v>437</v>
      </c>
      <c r="E8" s="168" t="str">
        <f t="shared" si="0"/>
        <v>Gail Scote</v>
      </c>
      <c r="F8" s="168" t="str">
        <f t="shared" si="1"/>
        <v>Scote Gail</v>
      </c>
      <c r="G8" s="89"/>
      <c r="I8" s="163" t="s">
        <v>438</v>
      </c>
      <c r="J8" s="169" t="s">
        <v>439</v>
      </c>
    </row>
    <row r="9" spans="1:14" ht="14.25" customHeight="1">
      <c r="B9" s="167" t="s">
        <v>440</v>
      </c>
      <c r="C9" s="167" t="s">
        <v>441</v>
      </c>
      <c r="E9" s="168" t="str">
        <f t="shared" si="0"/>
        <v>Sheryl Kane</v>
      </c>
      <c r="F9" s="168" t="str">
        <f t="shared" si="1"/>
        <v>Kane Sheryl</v>
      </c>
      <c r="G9" s="89"/>
      <c r="I9" s="166" t="s">
        <v>433</v>
      </c>
      <c r="J9" s="166" t="s">
        <v>433</v>
      </c>
    </row>
    <row r="10" spans="1:14" ht="14.25" customHeight="1">
      <c r="B10" s="167" t="s">
        <v>442</v>
      </c>
      <c r="C10" s="167" t="s">
        <v>443</v>
      </c>
      <c r="E10" s="168" t="str">
        <f t="shared" si="0"/>
        <v>Kendrick Hapsbuch</v>
      </c>
      <c r="F10" s="168" t="str">
        <f t="shared" si="1"/>
        <v>Hapsbuch Kendrick</v>
      </c>
      <c r="G10" s="89"/>
      <c r="I10" s="168" t="s">
        <v>444</v>
      </c>
      <c r="J10" s="168" t="str" cm="1">
        <f t="array" ref="J10:L10">_xlfn.TEXTSPLIT(I10," ",,,0)</f>
        <v>Pratik</v>
      </c>
      <c r="K10" s="170" t="str">
        <v>Ranjeet</v>
      </c>
      <c r="L10" s="170" t="str">
        <v>Naigaonkar</v>
      </c>
      <c r="M10" s="170"/>
      <c r="N10" s="170"/>
    </row>
    <row r="11" spans="1:14" ht="14.25" customHeight="1">
      <c r="B11" s="167" t="s">
        <v>445</v>
      </c>
      <c r="C11" s="167" t="s">
        <v>446</v>
      </c>
      <c r="E11" s="168" t="str">
        <f t="shared" si="0"/>
        <v>Mark Henders</v>
      </c>
      <c r="F11" s="168" t="str">
        <f t="shared" si="1"/>
        <v>Henders Mark</v>
      </c>
      <c r="G11" s="89"/>
      <c r="I11" s="168" t="str" cm="1">
        <f t="array" ref="I11:I13">_xlfn.TEXTSPLIT(I10,," ",,)</f>
        <v>Pratik</v>
      </c>
      <c r="J11" s="89"/>
    </row>
    <row r="12" spans="1:14" ht="14.25" customHeight="1">
      <c r="B12" s="167" t="s">
        <v>447</v>
      </c>
      <c r="C12" s="167" t="s">
        <v>448</v>
      </c>
      <c r="E12" s="168" t="str">
        <f t="shared" si="0"/>
        <v>Katie Atherton</v>
      </c>
      <c r="F12" s="168" t="str">
        <f t="shared" si="1"/>
        <v>Atherton Katie</v>
      </c>
      <c r="G12" s="89"/>
      <c r="I12" s="168" t="str">
        <v>Ranjeet</v>
      </c>
      <c r="J12" s="89"/>
    </row>
    <row r="13" spans="1:14" ht="14.25" customHeight="1">
      <c r="B13" s="167" t="s">
        <v>449</v>
      </c>
      <c r="C13" s="167" t="s">
        <v>450</v>
      </c>
      <c r="E13" s="168" t="str">
        <f t="shared" si="0"/>
        <v>Frank Bellwood</v>
      </c>
      <c r="F13" s="168" t="str">
        <f t="shared" si="1"/>
        <v>Bellwood Frank</v>
      </c>
      <c r="G13" s="89"/>
      <c r="I13" s="168" t="str">
        <v>Naigaonkar</v>
      </c>
      <c r="J13" s="89"/>
    </row>
    <row r="14" spans="1:14" ht="14.25" customHeight="1">
      <c r="B14" s="167" t="s">
        <v>451</v>
      </c>
      <c r="C14" s="167" t="s">
        <v>452</v>
      </c>
      <c r="E14" s="168" t="str">
        <f t="shared" si="0"/>
        <v>Linda Cooper</v>
      </c>
      <c r="F14" s="168" t="str">
        <f t="shared" si="1"/>
        <v>Cooper Linda</v>
      </c>
      <c r="G14" s="89"/>
      <c r="I14" s="168"/>
      <c r="J14" s="89"/>
    </row>
    <row r="15" spans="1:14" ht="14.25" customHeight="1">
      <c r="B15" s="167" t="s">
        <v>453</v>
      </c>
      <c r="C15" s="167" t="s">
        <v>454</v>
      </c>
      <c r="E15" s="168" t="str">
        <f t="shared" si="0"/>
        <v>Brent Cronwith</v>
      </c>
      <c r="F15" s="168" t="str">
        <f t="shared" si="1"/>
        <v>Cronwith Brent</v>
      </c>
      <c r="G15" s="89"/>
      <c r="I15" s="168"/>
      <c r="J15" s="89"/>
    </row>
    <row r="16" spans="1:14" ht="14.25" customHeight="1">
      <c r="B16" s="167" t="s">
        <v>455</v>
      </c>
      <c r="C16" s="167" t="s">
        <v>456</v>
      </c>
      <c r="E16" s="168" t="str">
        <f t="shared" si="0"/>
        <v>Sandrae Simpson</v>
      </c>
      <c r="F16" s="168" t="str">
        <f t="shared" si="1"/>
        <v>Simpson Sandrae</v>
      </c>
      <c r="G16" s="89"/>
      <c r="I16" s="168"/>
      <c r="J16" s="89"/>
    </row>
    <row r="17" spans="2:10" ht="14.25" customHeight="1">
      <c r="B17" s="167" t="s">
        <v>457</v>
      </c>
      <c r="C17" s="167" t="s">
        <v>458</v>
      </c>
      <c r="E17" s="168" t="str">
        <f t="shared" si="0"/>
        <v>Randy Sindole</v>
      </c>
      <c r="F17" s="168" t="str">
        <f t="shared" si="1"/>
        <v>Sindole Randy</v>
      </c>
      <c r="G17" s="89"/>
      <c r="I17" s="168"/>
      <c r="J17" s="89"/>
    </row>
    <row r="18" spans="2:10" ht="14.25" customHeight="1">
      <c r="B18" s="167" t="s">
        <v>147</v>
      </c>
      <c r="C18" s="167" t="s">
        <v>459</v>
      </c>
      <c r="E18" s="168" t="str">
        <f t="shared" si="0"/>
        <v>Ellen Smith</v>
      </c>
      <c r="F18" s="168" t="str">
        <f t="shared" si="1"/>
        <v>Smith Ellen</v>
      </c>
      <c r="G18" s="89"/>
      <c r="I18" s="168"/>
      <c r="J18" s="89"/>
    </row>
    <row r="19" spans="2:10" ht="14.25" customHeight="1">
      <c r="B19" s="167" t="s">
        <v>460</v>
      </c>
      <c r="C19" s="167" t="s">
        <v>461</v>
      </c>
      <c r="E19" s="168" t="str">
        <f t="shared" si="0"/>
        <v>Tuome Vuanuo</v>
      </c>
      <c r="F19" s="168" t="str">
        <f t="shared" si="1"/>
        <v>Vuanuo Tuome</v>
      </c>
      <c r="G19" s="89"/>
      <c r="I19" s="168"/>
      <c r="J19" s="89"/>
    </row>
    <row r="20" spans="2:10" ht="14.25" customHeight="1">
      <c r="B20" s="167" t="s">
        <v>462</v>
      </c>
      <c r="C20" s="167" t="s">
        <v>463</v>
      </c>
      <c r="E20" s="168" t="str">
        <f t="shared" si="0"/>
        <v>Tadeuz Szcznyck</v>
      </c>
      <c r="F20" s="168" t="str">
        <f t="shared" si="1"/>
        <v>Szcznyck Tadeuz</v>
      </c>
      <c r="G20" s="89"/>
      <c r="I20" s="168"/>
      <c r="J20" s="89"/>
    </row>
    <row r="21" spans="2:10" ht="14.25" customHeight="1">
      <c r="B21" s="167" t="s">
        <v>464</v>
      </c>
      <c r="C21" s="167" t="s">
        <v>465</v>
      </c>
      <c r="E21" s="168" t="str">
        <f t="shared" si="0"/>
        <v>Tammy Wu</v>
      </c>
      <c r="F21" s="168" t="str">
        <f t="shared" si="1"/>
        <v>Wu Tammy</v>
      </c>
      <c r="G21" s="89"/>
      <c r="I21" s="168"/>
      <c r="J21" s="89"/>
    </row>
    <row r="22" spans="2:10" ht="15.5">
      <c r="E22" s="89"/>
      <c r="F22" s="89"/>
      <c r="G22" s="89"/>
      <c r="I22" s="168"/>
      <c r="J22" s="89"/>
    </row>
    <row r="23" spans="2:10" ht="15.5">
      <c r="I23" s="168"/>
      <c r="J23" s="89"/>
    </row>
    <row r="24" spans="2:10" ht="15.5">
      <c r="I24" s="168"/>
      <c r="J24" s="89"/>
    </row>
    <row r="25" spans="2:10" ht="15.5">
      <c r="I25" s="168"/>
      <c r="J25" s="89"/>
    </row>
    <row r="27" spans="2:10" ht="15.5">
      <c r="B27" s="89"/>
      <c r="C27" s="171" t="s">
        <v>466</v>
      </c>
      <c r="D27" s="89"/>
      <c r="E27" s="89"/>
    </row>
    <row r="28" spans="2:10" ht="15.5">
      <c r="B28" s="164" t="s">
        <v>13</v>
      </c>
      <c r="C28" s="172" t="s">
        <v>13</v>
      </c>
      <c r="D28" s="89"/>
      <c r="E28" s="89"/>
    </row>
    <row r="29" spans="2:10" ht="15.5">
      <c r="B29" s="173" t="s">
        <v>467</v>
      </c>
      <c r="C29" s="174" t="str">
        <f>_xlfn.TEXTJOIN(", ",TRUE,B29,B30,B31)</f>
        <v>Smith, Scote, Kane, Joey, Sindole, Wu Yung, Cooper, Ray</v>
      </c>
      <c r="D29" s="89"/>
      <c r="E29" s="89"/>
    </row>
    <row r="30" spans="2:10" ht="15.5">
      <c r="B30" s="173" t="s">
        <v>468</v>
      </c>
      <c r="C30" s="89"/>
      <c r="D30" s="89"/>
      <c r="E30" s="89"/>
    </row>
    <row r="31" spans="2:10" ht="15.5">
      <c r="B31" s="173" t="s">
        <v>469</v>
      </c>
      <c r="C31" s="89"/>
      <c r="D31" s="89"/>
      <c r="E31" s="89"/>
    </row>
    <row r="32" spans="2:10" ht="15.5">
      <c r="B32" s="89"/>
      <c r="C32" s="89"/>
      <c r="D32" s="89"/>
      <c r="E32" s="171" t="s">
        <v>470</v>
      </c>
    </row>
    <row r="33" spans="2:6" ht="15.5">
      <c r="B33" s="89"/>
      <c r="C33" s="89"/>
      <c r="D33" s="89"/>
      <c r="E33" s="166" t="s">
        <v>13</v>
      </c>
    </row>
    <row r="34" spans="2:6" ht="15.5">
      <c r="B34" s="89"/>
      <c r="C34" s="89"/>
      <c r="D34" s="89"/>
      <c r="E34" s="174" t="str" cm="1">
        <f t="array" ref="E34:E41">_xlfn.TEXTSPLIT(C29,,", ",TRUE)</f>
        <v>Smith</v>
      </c>
      <c r="F34" s="79" t="str" cm="1">
        <f t="array" ref="F34:F42">_xlfn.TEXTSPLIT(C29,," ",TRUE)</f>
        <v>Smith,</v>
      </c>
    </row>
    <row r="35" spans="2:6" ht="15.5">
      <c r="B35" s="89"/>
      <c r="C35" s="89"/>
      <c r="D35" s="89"/>
      <c r="E35" s="174" t="str">
        <v>Scote</v>
      </c>
      <c r="F35" s="79" t="str">
        <v>Scote,</v>
      </c>
    </row>
    <row r="36" spans="2:6" ht="15.5">
      <c r="B36" s="89"/>
      <c r="C36" s="89"/>
      <c r="D36" s="89"/>
      <c r="E36" s="174" t="str">
        <v>Kane</v>
      </c>
      <c r="F36" s="79" t="str">
        <v>Kane,</v>
      </c>
    </row>
    <row r="37" spans="2:6" ht="15.5">
      <c r="B37" s="89"/>
      <c r="C37" s="89"/>
      <c r="D37" s="89"/>
      <c r="E37" s="174" t="str">
        <v>Joey</v>
      </c>
      <c r="F37" s="79" t="str">
        <v>Joey,</v>
      </c>
    </row>
    <row r="38" spans="2:6" ht="15.5">
      <c r="B38" s="89"/>
      <c r="C38" s="89"/>
      <c r="D38" s="89"/>
      <c r="E38" s="174" t="str">
        <v>Sindole</v>
      </c>
      <c r="F38" s="79" t="str">
        <v>Sindole,</v>
      </c>
    </row>
    <row r="39" spans="2:6" ht="15.5">
      <c r="B39" s="89"/>
      <c r="C39" s="89"/>
      <c r="D39" s="89"/>
      <c r="E39" s="174" t="str">
        <v>Wu Yung</v>
      </c>
      <c r="F39" s="79" t="str">
        <v>Wu</v>
      </c>
    </row>
    <row r="40" spans="2:6" ht="15.5">
      <c r="B40" s="89"/>
      <c r="C40" s="89"/>
      <c r="D40" s="89"/>
      <c r="E40" s="174" t="str">
        <v>Cooper</v>
      </c>
      <c r="F40" s="79" t="str">
        <v>Yung,</v>
      </c>
    </row>
    <row r="41" spans="2:6" ht="15.5">
      <c r="B41" s="89"/>
      <c r="C41" s="89"/>
      <c r="D41" s="89"/>
      <c r="E41" s="174" t="str">
        <v>Ray</v>
      </c>
      <c r="F41" s="79" t="str">
        <v>Cooper,</v>
      </c>
    </row>
    <row r="42" spans="2:6" ht="15.5">
      <c r="B42" s="89"/>
      <c r="C42" s="89"/>
      <c r="D42" s="89"/>
      <c r="E42" s="89"/>
      <c r="F42" s="79" t="str">
        <v>Ray</v>
      </c>
    </row>
    <row r="43" spans="2:6" ht="15.5">
      <c r="B43" s="89"/>
      <c r="C43" s="89"/>
      <c r="D43" s="89"/>
      <c r="E43" s="89"/>
    </row>
    <row r="44" spans="2:6" ht="15.5">
      <c r="B44" s="175" t="s">
        <v>13</v>
      </c>
      <c r="C44" s="89"/>
      <c r="D44" s="89"/>
      <c r="E44" s="89"/>
    </row>
    <row r="45" spans="2:6" ht="65.25" customHeight="1">
      <c r="B45" s="176" t="s">
        <v>471</v>
      </c>
      <c r="C45" s="89"/>
      <c r="D45" s="89"/>
      <c r="E45" s="89"/>
    </row>
    <row r="46" spans="2:6" ht="15.5">
      <c r="B46" s="89"/>
      <c r="C46" s="89"/>
      <c r="D46" s="89"/>
      <c r="E46" s="89" t="s">
        <v>472</v>
      </c>
    </row>
    <row r="47" spans="2:6" ht="15.5">
      <c r="B47" s="89"/>
      <c r="C47" s="89"/>
      <c r="D47" s="89"/>
      <c r="E47" s="172" t="s">
        <v>13</v>
      </c>
    </row>
    <row r="48" spans="2:6" ht="15.5">
      <c r="B48" s="89"/>
      <c r="C48" s="89"/>
      <c r="D48" s="89"/>
      <c r="E48" s="173" t="str" cm="1">
        <f t="array" ref="E48">_xlfn.TEXTSPLIT(B45,CHAR(9),,,)</f>
        <v>Smith
Scote
Kane
Cooper
Ray</v>
      </c>
    </row>
    <row r="49" spans="2:5" ht="15.5">
      <c r="B49" s="89"/>
      <c r="C49" s="89"/>
      <c r="D49" s="89"/>
      <c r="E49" s="89"/>
    </row>
    <row r="50" spans="2:5">
      <c r="E50" s="79" t="str" cm="1">
        <f t="array" ref="E50:E54">_xlfn.TEXTSPLIT(B45,,CHAR(10),,)</f>
        <v>Smith</v>
      </c>
    </row>
    <row r="51" spans="2:5">
      <c r="E51" s="79" t="str">
        <v>Scote</v>
      </c>
    </row>
    <row r="52" spans="2:5">
      <c r="E52" s="79" t="str">
        <v>Kane</v>
      </c>
    </row>
    <row r="53" spans="2:5">
      <c r="E53" s="79" t="str">
        <v>Cooper</v>
      </c>
    </row>
    <row r="54" spans="2:5">
      <c r="E54" s="79" t="str">
        <v>Ray</v>
      </c>
    </row>
  </sheetData>
  <pageMargins left="0.75" right="0.75" top="1" bottom="1" header="0.5" footer="0.5"/>
  <pageSetup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8730-54C4-4762-B0CE-983A64D2CF24}">
  <dimension ref="A1:H20"/>
  <sheetViews>
    <sheetView workbookViewId="0"/>
  </sheetViews>
  <sheetFormatPr defaultColWidth="8.7265625" defaultRowHeight="14.5"/>
  <cols>
    <col min="1" max="1" width="13.1796875" style="179" customWidth="1"/>
    <col min="2" max="2" width="14.81640625" style="179" customWidth="1"/>
    <col min="3" max="3" width="14" style="179" customWidth="1"/>
    <col min="4" max="4" width="13.7265625" style="179" customWidth="1"/>
    <col min="5" max="6" width="13" style="179" customWidth="1"/>
    <col min="7" max="16384" width="8.7265625" style="179"/>
  </cols>
  <sheetData>
    <row r="1" spans="1:8" ht="23.5">
      <c r="A1" s="177" t="s">
        <v>473</v>
      </c>
      <c r="B1" s="178"/>
      <c r="C1" s="178"/>
      <c r="D1" s="178"/>
      <c r="E1" s="178"/>
      <c r="F1" s="178"/>
    </row>
    <row r="4" spans="1:8">
      <c r="A4" s="180" t="s">
        <v>25</v>
      </c>
      <c r="B4" s="180" t="s">
        <v>72</v>
      </c>
      <c r="C4" s="180" t="s">
        <v>474</v>
      </c>
      <c r="D4" s="180" t="s">
        <v>318</v>
      </c>
      <c r="E4" s="181" t="s">
        <v>475</v>
      </c>
      <c r="F4" s="180" t="s">
        <v>476</v>
      </c>
    </row>
    <row r="5" spans="1:8">
      <c r="A5" s="180" t="s">
        <v>15</v>
      </c>
      <c r="B5" s="180" t="s">
        <v>477</v>
      </c>
      <c r="C5" s="182">
        <v>3450</v>
      </c>
      <c r="D5" s="182">
        <v>8625</v>
      </c>
      <c r="E5" s="183">
        <v>5175</v>
      </c>
      <c r="F5" s="184">
        <v>43770</v>
      </c>
    </row>
    <row r="6" spans="1:8">
      <c r="A6" s="180" t="s">
        <v>478</v>
      </c>
      <c r="B6" s="180" t="s">
        <v>479</v>
      </c>
      <c r="C6" s="182">
        <v>4304</v>
      </c>
      <c r="D6" s="182">
        <v>10760</v>
      </c>
      <c r="E6" s="183">
        <v>6456</v>
      </c>
      <c r="F6" s="184">
        <v>43800</v>
      </c>
    </row>
    <row r="7" spans="1:8">
      <c r="A7" s="180" t="s">
        <v>480</v>
      </c>
      <c r="B7" s="180" t="s">
        <v>481</v>
      </c>
      <c r="C7" s="182">
        <v>4698</v>
      </c>
      <c r="D7" s="182">
        <v>11745</v>
      </c>
      <c r="E7" s="183">
        <v>7047</v>
      </c>
      <c r="F7" s="184">
        <v>43709</v>
      </c>
      <c r="H7" s="179" t="s">
        <v>482</v>
      </c>
    </row>
    <row r="8" spans="1:8">
      <c r="A8" s="180" t="s">
        <v>483</v>
      </c>
      <c r="B8" s="180" t="s">
        <v>481</v>
      </c>
      <c r="C8" s="182">
        <v>2456</v>
      </c>
      <c r="D8" s="182">
        <v>6140</v>
      </c>
      <c r="E8" s="183">
        <v>3684</v>
      </c>
      <c r="F8" s="184">
        <v>43739</v>
      </c>
      <c r="H8" s="179" t="s">
        <v>484</v>
      </c>
    </row>
    <row r="9" spans="1:8">
      <c r="A9" s="180" t="s">
        <v>485</v>
      </c>
      <c r="B9" s="180" t="s">
        <v>481</v>
      </c>
      <c r="C9" s="182">
        <v>2778</v>
      </c>
      <c r="D9" s="182">
        <v>6945</v>
      </c>
      <c r="E9" s="183">
        <v>4167</v>
      </c>
      <c r="F9" s="184">
        <v>43739</v>
      </c>
    </row>
    <row r="10" spans="1:8">
      <c r="A10" s="180" t="s">
        <v>486</v>
      </c>
      <c r="B10" s="180" t="s">
        <v>487</v>
      </c>
      <c r="C10" s="182">
        <v>3604</v>
      </c>
      <c r="D10" s="182">
        <v>9010</v>
      </c>
      <c r="E10" s="183">
        <v>5406</v>
      </c>
      <c r="F10" s="184">
        <v>43800</v>
      </c>
    </row>
    <row r="11" spans="1:8">
      <c r="A11" s="180" t="s">
        <v>488</v>
      </c>
      <c r="B11" s="180" t="s">
        <v>479</v>
      </c>
      <c r="C11" s="182">
        <v>4598</v>
      </c>
      <c r="D11" s="182">
        <v>11495</v>
      </c>
      <c r="E11" s="183">
        <v>6897</v>
      </c>
      <c r="F11" s="184">
        <v>43739</v>
      </c>
    </row>
    <row r="12" spans="1:8">
      <c r="A12" s="180" t="s">
        <v>489</v>
      </c>
      <c r="B12" s="180" t="s">
        <v>481</v>
      </c>
      <c r="C12" s="182">
        <v>2808</v>
      </c>
      <c r="D12" s="182">
        <v>7020</v>
      </c>
      <c r="E12" s="183">
        <v>4212</v>
      </c>
      <c r="F12" s="184">
        <v>43770</v>
      </c>
    </row>
    <row r="13" spans="1:8">
      <c r="A13" s="180" t="s">
        <v>490</v>
      </c>
      <c r="B13" s="180" t="s">
        <v>481</v>
      </c>
      <c r="C13" s="182">
        <v>4940</v>
      </c>
      <c r="D13" s="182">
        <v>12350</v>
      </c>
      <c r="E13" s="183">
        <v>7410</v>
      </c>
      <c r="F13" s="184">
        <v>43709</v>
      </c>
    </row>
    <row r="14" spans="1:8">
      <c r="A14" s="180" t="s">
        <v>491</v>
      </c>
      <c r="B14" s="180" t="s">
        <v>477</v>
      </c>
      <c r="C14" s="182">
        <v>4444</v>
      </c>
      <c r="D14" s="182">
        <v>8715</v>
      </c>
      <c r="E14" s="183">
        <v>5229</v>
      </c>
      <c r="F14" s="184">
        <v>43739</v>
      </c>
    </row>
    <row r="15" spans="1:8">
      <c r="A15" s="180" t="s">
        <v>492</v>
      </c>
      <c r="B15" s="180" t="s">
        <v>493</v>
      </c>
      <c r="C15" s="182">
        <v>9423</v>
      </c>
      <c r="D15" s="182">
        <v>11110</v>
      </c>
      <c r="E15" s="183">
        <v>6666</v>
      </c>
      <c r="F15" s="184">
        <v>43770</v>
      </c>
    </row>
    <row r="16" spans="1:8">
      <c r="A16" s="180" t="s">
        <v>494</v>
      </c>
      <c r="B16" s="180" t="s">
        <v>493</v>
      </c>
      <c r="C16" s="182">
        <v>7083.2</v>
      </c>
      <c r="D16" s="182">
        <v>345</v>
      </c>
      <c r="E16" s="183">
        <v>276</v>
      </c>
      <c r="F16" s="184">
        <v>43739</v>
      </c>
    </row>
    <row r="17" spans="1:6">
      <c r="A17" s="180" t="s">
        <v>495</v>
      </c>
      <c r="B17" s="180" t="s">
        <v>487</v>
      </c>
      <c r="C17" s="182">
        <v>256.60000000000002</v>
      </c>
      <c r="D17" s="182">
        <v>2851</v>
      </c>
      <c r="E17" s="183">
        <v>2280.8000000000002</v>
      </c>
      <c r="F17" s="184">
        <v>43739</v>
      </c>
    </row>
    <row r="18" spans="1:6">
      <c r="A18" s="180" t="s">
        <v>496</v>
      </c>
      <c r="B18" s="180" t="s">
        <v>487</v>
      </c>
      <c r="C18" s="182">
        <v>322.2</v>
      </c>
      <c r="D18" s="182">
        <v>1283</v>
      </c>
      <c r="E18" s="183">
        <v>1026.4000000000001</v>
      </c>
      <c r="F18" s="184">
        <v>43709</v>
      </c>
    </row>
    <row r="19" spans="1:6">
      <c r="C19" s="185"/>
      <c r="D19" s="186"/>
      <c r="E19" s="186"/>
      <c r="F19" s="186"/>
    </row>
    <row r="20" spans="1:6">
      <c r="C20" s="186"/>
    </row>
  </sheetData>
  <sheetProtection algorithmName="SHA-512" hashValue="z8i2JzHK8KLfgrJP99OSubTNKGerpO7QKPIJYy37s8V75r8vEFV9OdXEjjSX4pP3XnkPrxzrYAL+YcFS1ItB1Q==" saltValue="gc+bGEOLHtzpRhsGrgu8pw==" spinCount="100000" sheet="1" objects="1" scenarios="1"/>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E4FA-6EB0-4195-94BA-C7C2F1622587}">
  <dimension ref="A1:L701"/>
  <sheetViews>
    <sheetView zoomScale="115" zoomScaleNormal="115" workbookViewId="0"/>
  </sheetViews>
  <sheetFormatPr defaultRowHeight="14.5"/>
  <cols>
    <col min="1" max="1" width="10.453125" customWidth="1"/>
    <col min="2" max="2" width="9.54296875" customWidth="1"/>
    <col min="3" max="3" width="30.54296875" bestFit="1" customWidth="1"/>
    <col min="4" max="4" width="10.54296875" customWidth="1"/>
    <col min="7" max="8" width="9.453125" customWidth="1"/>
    <col min="11" max="11" width="13.81640625" bestFit="1" customWidth="1"/>
    <col min="12" max="12" width="9.81640625" bestFit="1" customWidth="1"/>
  </cols>
  <sheetData>
    <row r="1" spans="1:12">
      <c r="A1" s="187" t="s">
        <v>497</v>
      </c>
      <c r="B1" s="188" t="s">
        <v>498</v>
      </c>
      <c r="C1" s="188" t="s">
        <v>25</v>
      </c>
      <c r="D1" s="188" t="s">
        <v>499</v>
      </c>
      <c r="E1" s="188" t="s">
        <v>476</v>
      </c>
      <c r="F1" s="188" t="s">
        <v>500</v>
      </c>
      <c r="G1" s="189" t="s">
        <v>501</v>
      </c>
      <c r="H1" s="190"/>
      <c r="J1" s="191" t="s">
        <v>502</v>
      </c>
      <c r="K1" s="192" t="s">
        <v>503</v>
      </c>
      <c r="L1" s="193" t="s">
        <v>504</v>
      </c>
    </row>
    <row r="2" spans="1:12">
      <c r="A2" s="194">
        <v>3</v>
      </c>
      <c r="B2" s="3">
        <v>397386</v>
      </c>
      <c r="C2" s="3" t="s">
        <v>505</v>
      </c>
      <c r="D2" s="3">
        <v>3997.5</v>
      </c>
      <c r="E2" s="3">
        <v>43831</v>
      </c>
      <c r="F2" s="3">
        <v>23985</v>
      </c>
      <c r="G2" s="195">
        <v>10993.125</v>
      </c>
      <c r="J2" s="196">
        <v>1</v>
      </c>
      <c r="K2" s="197">
        <f>SUMIFS(F:F,A:A,J2)</f>
        <v>521251</v>
      </c>
      <c r="L2" s="198">
        <f>COUNTIFS(A:A,J2)</f>
        <v>92</v>
      </c>
    </row>
    <row r="3" spans="1:12">
      <c r="A3" s="194">
        <v>5</v>
      </c>
      <c r="B3" s="3">
        <v>613058</v>
      </c>
      <c r="C3" s="3" t="s">
        <v>505</v>
      </c>
      <c r="D3" s="3">
        <v>3864</v>
      </c>
      <c r="E3" s="3">
        <v>43922</v>
      </c>
      <c r="F3" s="3">
        <v>23184</v>
      </c>
      <c r="G3" s="195">
        <v>10626</v>
      </c>
      <c r="J3" s="196">
        <v>2</v>
      </c>
      <c r="K3" s="197">
        <f>SUMIFS(F:F,A:A,J3)</f>
        <v>903407</v>
      </c>
      <c r="L3" s="198">
        <f>COUNTIFS(A:A,J3)</f>
        <v>132</v>
      </c>
    </row>
    <row r="4" spans="1:12">
      <c r="A4" s="194">
        <v>4</v>
      </c>
      <c r="B4" s="3">
        <v>766402</v>
      </c>
      <c r="C4" s="3" t="s">
        <v>505</v>
      </c>
      <c r="D4" s="3">
        <v>3850.5</v>
      </c>
      <c r="E4" s="3">
        <v>43922</v>
      </c>
      <c r="F4" s="3">
        <v>23103</v>
      </c>
      <c r="G4" s="195">
        <v>10588.875</v>
      </c>
      <c r="J4" s="196">
        <v>3</v>
      </c>
      <c r="K4" s="197">
        <f>SUMIFS(F:F,A:A,J4)</f>
        <v>1431191</v>
      </c>
      <c r="L4" s="198">
        <f>COUNTIFS(A:A,J4)</f>
        <v>206</v>
      </c>
    </row>
    <row r="5" spans="1:12">
      <c r="A5" s="194">
        <v>4</v>
      </c>
      <c r="B5" s="3">
        <v>710702</v>
      </c>
      <c r="C5" s="3" t="s">
        <v>505</v>
      </c>
      <c r="D5" s="3">
        <v>3793.5</v>
      </c>
      <c r="E5" s="3">
        <v>44013</v>
      </c>
      <c r="F5" s="3">
        <v>22761</v>
      </c>
      <c r="G5" s="195">
        <v>10432.125</v>
      </c>
      <c r="J5" s="196">
        <v>4</v>
      </c>
      <c r="K5" s="197">
        <f>SUMIFS(F:F,A:A,J5)</f>
        <v>1108643</v>
      </c>
      <c r="L5" s="198">
        <f>COUNTIFS(A:A,J5)</f>
        <v>156</v>
      </c>
    </row>
    <row r="6" spans="1:12">
      <c r="A6" s="194">
        <v>5</v>
      </c>
      <c r="B6" s="3">
        <v>283378</v>
      </c>
      <c r="C6" s="3" t="s">
        <v>506</v>
      </c>
      <c r="D6" s="3">
        <v>4492.5</v>
      </c>
      <c r="E6" s="3">
        <v>43922</v>
      </c>
      <c r="F6" s="3">
        <v>22462.5</v>
      </c>
      <c r="G6" s="195">
        <v>8985</v>
      </c>
      <c r="J6" s="199">
        <v>5</v>
      </c>
      <c r="K6" s="200">
        <f>SUMIFS(F:F,A:A,J6)</f>
        <v>725758.5</v>
      </c>
      <c r="L6" s="201">
        <f>COUNTIFS(A:A,J6)</f>
        <v>114</v>
      </c>
    </row>
    <row r="7" spans="1:12">
      <c r="A7" s="194">
        <v>3</v>
      </c>
      <c r="B7" s="3">
        <v>239419</v>
      </c>
      <c r="C7" s="3" t="s">
        <v>506</v>
      </c>
      <c r="D7" s="3">
        <v>4251</v>
      </c>
      <c r="E7" s="3">
        <v>43831</v>
      </c>
      <c r="F7" s="3">
        <v>21255</v>
      </c>
      <c r="G7" s="195">
        <v>8502</v>
      </c>
    </row>
    <row r="8" spans="1:12">
      <c r="A8" s="194">
        <v>4</v>
      </c>
      <c r="B8" s="3">
        <v>739483</v>
      </c>
      <c r="C8" s="3" t="s">
        <v>507</v>
      </c>
      <c r="D8" s="3">
        <v>4219.5</v>
      </c>
      <c r="E8" s="3">
        <v>43922</v>
      </c>
      <c r="F8" s="3">
        <v>21097.5</v>
      </c>
      <c r="G8" s="195">
        <v>9282.9000000000015</v>
      </c>
    </row>
    <row r="9" spans="1:12">
      <c r="A9" s="194">
        <v>3</v>
      </c>
      <c r="B9" s="3">
        <v>253399</v>
      </c>
      <c r="C9" s="3" t="s">
        <v>506</v>
      </c>
      <c r="D9" s="3">
        <v>4026</v>
      </c>
      <c r="E9" s="3">
        <v>44013</v>
      </c>
      <c r="F9" s="3">
        <v>20130</v>
      </c>
      <c r="G9" s="195">
        <v>8052</v>
      </c>
    </row>
    <row r="10" spans="1:12">
      <c r="A10" s="194">
        <v>4</v>
      </c>
      <c r="B10" s="3">
        <v>361305</v>
      </c>
      <c r="C10" s="3" t="s">
        <v>506</v>
      </c>
      <c r="D10" s="3">
        <v>3945</v>
      </c>
      <c r="E10" s="3">
        <v>43831</v>
      </c>
      <c r="F10" s="3">
        <v>19725</v>
      </c>
      <c r="G10" s="195">
        <v>7890</v>
      </c>
    </row>
    <row r="11" spans="1:12">
      <c r="A11" s="194">
        <v>2</v>
      </c>
      <c r="B11" s="3">
        <v>603195</v>
      </c>
      <c r="C11" s="3" t="s">
        <v>506</v>
      </c>
      <c r="D11" s="3">
        <v>3801</v>
      </c>
      <c r="E11" s="3">
        <v>43922</v>
      </c>
      <c r="F11" s="3">
        <v>19005</v>
      </c>
      <c r="G11" s="195">
        <v>7602</v>
      </c>
    </row>
    <row r="12" spans="1:12">
      <c r="A12" s="194">
        <v>2</v>
      </c>
      <c r="B12" s="3">
        <v>643111</v>
      </c>
      <c r="C12" s="3" t="s">
        <v>506</v>
      </c>
      <c r="D12" s="3">
        <v>3675</v>
      </c>
      <c r="E12" s="3">
        <v>43922</v>
      </c>
      <c r="F12" s="3">
        <v>18375</v>
      </c>
      <c r="G12" s="195">
        <v>7350</v>
      </c>
    </row>
    <row r="13" spans="1:12">
      <c r="A13" s="194">
        <v>4</v>
      </c>
      <c r="B13" s="3">
        <v>861720</v>
      </c>
      <c r="C13" s="3" t="s">
        <v>505</v>
      </c>
      <c r="D13" s="3">
        <v>2966</v>
      </c>
      <c r="E13" s="3">
        <v>43739</v>
      </c>
      <c r="F13" s="3">
        <v>17796</v>
      </c>
      <c r="G13" s="195">
        <v>8156.5</v>
      </c>
    </row>
    <row r="14" spans="1:12">
      <c r="A14" s="194">
        <v>3</v>
      </c>
      <c r="B14" s="3">
        <v>272552</v>
      </c>
      <c r="C14" s="3" t="s">
        <v>507</v>
      </c>
      <c r="D14" s="3">
        <v>3520.5</v>
      </c>
      <c r="E14" s="3">
        <v>43922</v>
      </c>
      <c r="F14" s="3">
        <v>17602.5</v>
      </c>
      <c r="G14" s="195">
        <v>7745.1</v>
      </c>
    </row>
    <row r="15" spans="1:12">
      <c r="A15" s="194">
        <v>4</v>
      </c>
      <c r="B15" s="3">
        <v>459019</v>
      </c>
      <c r="C15" s="3" t="s">
        <v>506</v>
      </c>
      <c r="D15" s="3">
        <v>3513</v>
      </c>
      <c r="E15" s="3">
        <v>44013</v>
      </c>
      <c r="F15" s="3">
        <v>17565</v>
      </c>
      <c r="G15" s="195">
        <v>7026</v>
      </c>
    </row>
    <row r="16" spans="1:12">
      <c r="A16" s="194">
        <v>2</v>
      </c>
      <c r="B16" s="3">
        <v>628402</v>
      </c>
      <c r="C16" s="3" t="s">
        <v>506</v>
      </c>
      <c r="D16" s="3">
        <v>3495</v>
      </c>
      <c r="E16" s="3">
        <v>43831</v>
      </c>
      <c r="F16" s="3">
        <v>17475</v>
      </c>
      <c r="G16" s="195">
        <v>6990</v>
      </c>
    </row>
    <row r="17" spans="1:7">
      <c r="A17" s="194">
        <v>3</v>
      </c>
      <c r="B17" s="3">
        <v>567117</v>
      </c>
      <c r="C17" s="3" t="s">
        <v>505</v>
      </c>
      <c r="D17" s="3">
        <v>2907</v>
      </c>
      <c r="E17" s="3">
        <v>43983</v>
      </c>
      <c r="F17" s="3">
        <v>17442</v>
      </c>
      <c r="G17" s="195">
        <v>7994.25</v>
      </c>
    </row>
    <row r="18" spans="1:7">
      <c r="A18" s="194">
        <v>2</v>
      </c>
      <c r="B18" s="3">
        <v>426268</v>
      </c>
      <c r="C18" s="3" t="s">
        <v>505</v>
      </c>
      <c r="D18" s="3">
        <v>2877</v>
      </c>
      <c r="E18" s="3">
        <v>44105</v>
      </c>
      <c r="F18" s="3">
        <v>17262</v>
      </c>
      <c r="G18" s="195">
        <v>7911.75</v>
      </c>
    </row>
    <row r="19" spans="1:7">
      <c r="A19" s="194">
        <v>2</v>
      </c>
      <c r="B19" s="3">
        <v>824253</v>
      </c>
      <c r="C19" s="3" t="s">
        <v>506</v>
      </c>
      <c r="D19" s="3">
        <v>3450</v>
      </c>
      <c r="E19" s="3">
        <v>44013</v>
      </c>
      <c r="F19" s="3">
        <v>17250</v>
      </c>
      <c r="G19" s="195">
        <v>6900</v>
      </c>
    </row>
    <row r="20" spans="1:7">
      <c r="A20" s="194">
        <v>5</v>
      </c>
      <c r="B20" s="3">
        <v>165918</v>
      </c>
      <c r="C20" s="3" t="s">
        <v>505</v>
      </c>
      <c r="D20" s="3">
        <v>2861</v>
      </c>
      <c r="E20" s="3">
        <v>43831</v>
      </c>
      <c r="F20" s="3">
        <v>17166</v>
      </c>
      <c r="G20" s="195">
        <v>7867.75</v>
      </c>
    </row>
    <row r="21" spans="1:7">
      <c r="A21" s="194">
        <v>3</v>
      </c>
      <c r="B21" s="3">
        <v>261362</v>
      </c>
      <c r="C21" s="3" t="s">
        <v>507</v>
      </c>
      <c r="D21" s="3">
        <v>3421.5</v>
      </c>
      <c r="E21" s="3">
        <v>44013</v>
      </c>
      <c r="F21" s="3">
        <v>17107.5</v>
      </c>
      <c r="G21" s="195">
        <v>7527.3</v>
      </c>
    </row>
    <row r="22" spans="1:7">
      <c r="A22" s="194">
        <v>5</v>
      </c>
      <c r="B22" s="3">
        <v>864063</v>
      </c>
      <c r="C22" s="3" t="s">
        <v>505</v>
      </c>
      <c r="D22" s="3">
        <v>2832</v>
      </c>
      <c r="E22" s="3">
        <v>44044</v>
      </c>
      <c r="F22" s="3">
        <v>16992</v>
      </c>
      <c r="G22" s="195">
        <v>7788</v>
      </c>
    </row>
    <row r="23" spans="1:7">
      <c r="A23" s="194">
        <v>4</v>
      </c>
      <c r="B23" s="3">
        <v>765655</v>
      </c>
      <c r="C23" s="3" t="s">
        <v>508</v>
      </c>
      <c r="D23" s="3">
        <v>4243.5</v>
      </c>
      <c r="E23" s="3">
        <v>43922</v>
      </c>
      <c r="F23" s="3">
        <v>16974</v>
      </c>
      <c r="G23" s="195">
        <v>6365.25</v>
      </c>
    </row>
    <row r="24" spans="1:7">
      <c r="A24" s="194">
        <v>3</v>
      </c>
      <c r="B24" s="3">
        <v>853295</v>
      </c>
      <c r="C24" s="3" t="s">
        <v>505</v>
      </c>
      <c r="D24" s="3">
        <v>2826</v>
      </c>
      <c r="E24" s="3">
        <v>43952</v>
      </c>
      <c r="F24" s="3">
        <v>16956</v>
      </c>
      <c r="G24" s="195">
        <v>7771.5</v>
      </c>
    </row>
    <row r="25" spans="1:7">
      <c r="A25" s="194">
        <v>1</v>
      </c>
      <c r="B25" s="3">
        <v>685153</v>
      </c>
      <c r="C25" s="3" t="s">
        <v>505</v>
      </c>
      <c r="D25" s="3">
        <v>2821</v>
      </c>
      <c r="E25" s="3">
        <v>44044</v>
      </c>
      <c r="F25" s="3">
        <v>16926</v>
      </c>
      <c r="G25" s="195">
        <v>7757.75</v>
      </c>
    </row>
    <row r="26" spans="1:7">
      <c r="A26" s="194">
        <v>1</v>
      </c>
      <c r="B26" s="3">
        <v>494115</v>
      </c>
      <c r="C26" s="3" t="s">
        <v>505</v>
      </c>
      <c r="D26" s="3">
        <v>2805</v>
      </c>
      <c r="E26" s="3">
        <v>43709</v>
      </c>
      <c r="F26" s="3">
        <v>16830</v>
      </c>
      <c r="G26" s="195">
        <v>7713.75</v>
      </c>
    </row>
    <row r="27" spans="1:7">
      <c r="A27" s="194">
        <v>3</v>
      </c>
      <c r="B27" s="3">
        <v>218006</v>
      </c>
      <c r="C27" s="3" t="s">
        <v>505</v>
      </c>
      <c r="D27" s="3">
        <v>2755</v>
      </c>
      <c r="E27" s="3">
        <v>43862</v>
      </c>
      <c r="F27" s="3">
        <v>16530</v>
      </c>
      <c r="G27" s="195">
        <v>7576.25</v>
      </c>
    </row>
    <row r="28" spans="1:7">
      <c r="A28" s="194">
        <v>2</v>
      </c>
      <c r="B28" s="3">
        <v>104326</v>
      </c>
      <c r="C28" s="3" t="s">
        <v>507</v>
      </c>
      <c r="D28" s="3">
        <v>3199.5</v>
      </c>
      <c r="E28" s="3">
        <v>44013</v>
      </c>
      <c r="F28" s="3">
        <v>15997.5</v>
      </c>
      <c r="G28" s="195">
        <v>7038.9000000000005</v>
      </c>
    </row>
    <row r="29" spans="1:7">
      <c r="A29" s="194">
        <v>4</v>
      </c>
      <c r="B29" s="3">
        <v>632477</v>
      </c>
      <c r="C29" s="3" t="s">
        <v>505</v>
      </c>
      <c r="D29" s="3">
        <v>2665</v>
      </c>
      <c r="E29" s="3">
        <v>44136</v>
      </c>
      <c r="F29" s="3">
        <v>15990</v>
      </c>
      <c r="G29" s="195">
        <v>7328.75</v>
      </c>
    </row>
    <row r="30" spans="1:7">
      <c r="A30" s="194">
        <v>4</v>
      </c>
      <c r="B30" s="3">
        <v>558048</v>
      </c>
      <c r="C30" s="3" t="s">
        <v>505</v>
      </c>
      <c r="D30" s="3">
        <v>2646</v>
      </c>
      <c r="E30" s="3">
        <v>43709</v>
      </c>
      <c r="F30" s="3">
        <v>15876</v>
      </c>
      <c r="G30" s="195">
        <v>7276.5</v>
      </c>
    </row>
    <row r="31" spans="1:7">
      <c r="A31" s="194">
        <v>3</v>
      </c>
      <c r="B31" s="3">
        <v>382237</v>
      </c>
      <c r="C31" s="3" t="s">
        <v>507</v>
      </c>
      <c r="D31" s="3">
        <v>3165</v>
      </c>
      <c r="E31" s="3">
        <v>43831</v>
      </c>
      <c r="F31" s="3">
        <v>15825</v>
      </c>
      <c r="G31" s="195">
        <v>6963.0000000000009</v>
      </c>
    </row>
    <row r="32" spans="1:7">
      <c r="A32" s="194">
        <v>4</v>
      </c>
      <c r="B32" s="3">
        <v>488771</v>
      </c>
      <c r="C32" s="3" t="s">
        <v>505</v>
      </c>
      <c r="D32" s="3">
        <v>2632</v>
      </c>
      <c r="E32" s="3">
        <v>43983</v>
      </c>
      <c r="F32" s="3">
        <v>15792</v>
      </c>
      <c r="G32" s="195">
        <v>7238</v>
      </c>
    </row>
    <row r="33" spans="1:7">
      <c r="A33" s="194">
        <v>2</v>
      </c>
      <c r="B33" s="3">
        <v>507202</v>
      </c>
      <c r="C33" s="3" t="s">
        <v>505</v>
      </c>
      <c r="D33" s="3">
        <v>2628</v>
      </c>
      <c r="E33" s="3">
        <v>43922</v>
      </c>
      <c r="F33" s="3">
        <v>15768</v>
      </c>
      <c r="G33" s="195">
        <v>7227</v>
      </c>
    </row>
    <row r="34" spans="1:7">
      <c r="A34" s="194">
        <v>5</v>
      </c>
      <c r="B34" s="3">
        <v>814769</v>
      </c>
      <c r="C34" s="3" t="s">
        <v>505</v>
      </c>
      <c r="D34" s="3">
        <v>2605</v>
      </c>
      <c r="E34" s="3">
        <v>43770</v>
      </c>
      <c r="F34" s="3">
        <v>15630</v>
      </c>
      <c r="G34" s="195">
        <v>7163.75</v>
      </c>
    </row>
    <row r="35" spans="1:7">
      <c r="A35" s="194">
        <v>4</v>
      </c>
      <c r="B35" s="3">
        <v>208456</v>
      </c>
      <c r="C35" s="3" t="s">
        <v>505</v>
      </c>
      <c r="D35" s="3">
        <v>2574</v>
      </c>
      <c r="E35" s="3">
        <v>43770</v>
      </c>
      <c r="F35" s="3">
        <v>15444</v>
      </c>
      <c r="G35" s="195">
        <v>7078.5</v>
      </c>
    </row>
    <row r="36" spans="1:7">
      <c r="A36" s="194">
        <v>2</v>
      </c>
      <c r="B36" s="3">
        <v>752353</v>
      </c>
      <c r="C36" s="3" t="s">
        <v>505</v>
      </c>
      <c r="D36" s="3">
        <v>2536</v>
      </c>
      <c r="E36" s="3">
        <v>43770</v>
      </c>
      <c r="F36" s="3">
        <v>15216</v>
      </c>
      <c r="G36" s="195">
        <v>6974</v>
      </c>
    </row>
    <row r="37" spans="1:7">
      <c r="A37" s="194">
        <v>3</v>
      </c>
      <c r="B37" s="3">
        <v>215670</v>
      </c>
      <c r="C37" s="3" t="s">
        <v>507</v>
      </c>
      <c r="D37" s="3">
        <v>2993</v>
      </c>
      <c r="E37" s="3">
        <v>43891</v>
      </c>
      <c r="F37" s="3">
        <v>14965</v>
      </c>
      <c r="G37" s="195">
        <v>6584.6</v>
      </c>
    </row>
    <row r="38" spans="1:7">
      <c r="A38" s="194">
        <v>3</v>
      </c>
      <c r="B38" s="3">
        <v>788375</v>
      </c>
      <c r="C38" s="3" t="s">
        <v>506</v>
      </c>
      <c r="D38" s="3">
        <v>2993</v>
      </c>
      <c r="E38" s="3">
        <v>44075</v>
      </c>
      <c r="F38" s="3">
        <v>14965</v>
      </c>
      <c r="G38" s="195">
        <v>5986</v>
      </c>
    </row>
    <row r="39" spans="1:7">
      <c r="A39" s="194">
        <v>2</v>
      </c>
      <c r="B39" s="3">
        <v>440377</v>
      </c>
      <c r="C39" s="3" t="s">
        <v>506</v>
      </c>
      <c r="D39" s="3">
        <v>2992</v>
      </c>
      <c r="E39" s="3">
        <v>43739</v>
      </c>
      <c r="F39" s="3">
        <v>14960</v>
      </c>
      <c r="G39" s="195">
        <v>5984</v>
      </c>
    </row>
    <row r="40" spans="1:7">
      <c r="A40" s="194">
        <v>3</v>
      </c>
      <c r="B40" s="3">
        <v>508782</v>
      </c>
      <c r="C40" s="3" t="s">
        <v>506</v>
      </c>
      <c r="D40" s="3">
        <v>2992</v>
      </c>
      <c r="E40" s="3">
        <v>43891</v>
      </c>
      <c r="F40" s="3">
        <v>14960</v>
      </c>
      <c r="G40" s="195">
        <v>5984</v>
      </c>
    </row>
    <row r="41" spans="1:7">
      <c r="A41" s="194">
        <v>3</v>
      </c>
      <c r="B41" s="3">
        <v>288851</v>
      </c>
      <c r="C41" s="3" t="s">
        <v>506</v>
      </c>
      <c r="D41" s="3">
        <v>2988</v>
      </c>
      <c r="E41" s="3">
        <v>44013</v>
      </c>
      <c r="F41" s="3">
        <v>14940</v>
      </c>
      <c r="G41" s="195">
        <v>5976</v>
      </c>
    </row>
    <row r="42" spans="1:7">
      <c r="A42" s="194">
        <v>3</v>
      </c>
      <c r="B42" s="3">
        <v>253215</v>
      </c>
      <c r="C42" s="3" t="s">
        <v>507</v>
      </c>
      <c r="D42" s="3">
        <v>2966</v>
      </c>
      <c r="E42" s="3">
        <v>43739</v>
      </c>
      <c r="F42" s="3">
        <v>14830</v>
      </c>
      <c r="G42" s="195">
        <v>6525.2000000000007</v>
      </c>
    </row>
    <row r="43" spans="1:7">
      <c r="A43" s="194">
        <v>4</v>
      </c>
      <c r="B43" s="3">
        <v>233911</v>
      </c>
      <c r="C43" s="3" t="s">
        <v>505</v>
      </c>
      <c r="D43" s="3">
        <v>2460</v>
      </c>
      <c r="E43" s="3">
        <v>44013</v>
      </c>
      <c r="F43" s="3">
        <v>14760</v>
      </c>
      <c r="G43" s="195">
        <v>6765</v>
      </c>
    </row>
    <row r="44" spans="1:7">
      <c r="A44" s="194">
        <v>5</v>
      </c>
      <c r="B44" s="3">
        <v>854455</v>
      </c>
      <c r="C44" s="3" t="s">
        <v>506</v>
      </c>
      <c r="D44" s="3">
        <v>2931</v>
      </c>
      <c r="E44" s="3">
        <v>43709</v>
      </c>
      <c r="F44" s="3">
        <v>14655</v>
      </c>
      <c r="G44" s="195">
        <v>5862</v>
      </c>
    </row>
    <row r="45" spans="1:7">
      <c r="A45" s="194">
        <v>4</v>
      </c>
      <c r="B45" s="3">
        <v>727940</v>
      </c>
      <c r="C45" s="3" t="s">
        <v>505</v>
      </c>
      <c r="D45" s="3">
        <v>2438</v>
      </c>
      <c r="E45" s="3">
        <v>43800</v>
      </c>
      <c r="F45" s="3">
        <v>14628</v>
      </c>
      <c r="G45" s="195">
        <v>6704.5</v>
      </c>
    </row>
    <row r="46" spans="1:7">
      <c r="A46" s="194">
        <v>3</v>
      </c>
      <c r="B46" s="3">
        <v>549329</v>
      </c>
      <c r="C46" s="3" t="s">
        <v>506</v>
      </c>
      <c r="D46" s="3">
        <v>2918</v>
      </c>
      <c r="E46" s="3">
        <v>43952</v>
      </c>
      <c r="F46" s="3">
        <v>14590</v>
      </c>
      <c r="G46" s="195">
        <v>5836</v>
      </c>
    </row>
    <row r="47" spans="1:7">
      <c r="A47" s="194">
        <v>4</v>
      </c>
      <c r="B47" s="3">
        <v>673372</v>
      </c>
      <c r="C47" s="3" t="s">
        <v>505</v>
      </c>
      <c r="D47" s="3">
        <v>2431</v>
      </c>
      <c r="E47" s="3">
        <v>44166</v>
      </c>
      <c r="F47" s="3">
        <v>14586</v>
      </c>
      <c r="G47" s="195">
        <v>6685.25</v>
      </c>
    </row>
    <row r="48" spans="1:7">
      <c r="A48" s="194">
        <v>3</v>
      </c>
      <c r="B48" s="3">
        <v>898886</v>
      </c>
      <c r="C48" s="3" t="s">
        <v>506</v>
      </c>
      <c r="D48" s="3">
        <v>2914</v>
      </c>
      <c r="E48" s="3">
        <v>44105</v>
      </c>
      <c r="F48" s="3">
        <v>14570</v>
      </c>
      <c r="G48" s="195">
        <v>5828</v>
      </c>
    </row>
    <row r="49" spans="1:7">
      <c r="A49" s="194">
        <v>5</v>
      </c>
      <c r="B49" s="3">
        <v>841420</v>
      </c>
      <c r="C49" s="3" t="s">
        <v>507</v>
      </c>
      <c r="D49" s="3">
        <v>2914</v>
      </c>
      <c r="E49" s="3">
        <v>44105</v>
      </c>
      <c r="F49" s="3">
        <v>14570</v>
      </c>
      <c r="G49" s="195">
        <v>6410.8</v>
      </c>
    </row>
    <row r="50" spans="1:7">
      <c r="A50" s="194">
        <v>3</v>
      </c>
      <c r="B50" s="3">
        <v>755930</v>
      </c>
      <c r="C50" s="3" t="s">
        <v>507</v>
      </c>
      <c r="D50" s="3">
        <v>2907</v>
      </c>
      <c r="E50" s="3">
        <v>43983</v>
      </c>
      <c r="F50" s="3">
        <v>14535</v>
      </c>
      <c r="G50" s="195">
        <v>6395.4000000000005</v>
      </c>
    </row>
    <row r="51" spans="1:7">
      <c r="A51" s="194">
        <v>4</v>
      </c>
      <c r="B51" s="3">
        <v>160202</v>
      </c>
      <c r="C51" s="3" t="s">
        <v>506</v>
      </c>
      <c r="D51" s="3">
        <v>2905</v>
      </c>
      <c r="E51" s="3">
        <v>44136</v>
      </c>
      <c r="F51" s="3">
        <v>14525</v>
      </c>
      <c r="G51" s="195">
        <v>5810</v>
      </c>
    </row>
    <row r="52" spans="1:7">
      <c r="A52" s="194">
        <v>3</v>
      </c>
      <c r="B52" s="3">
        <v>271981</v>
      </c>
      <c r="C52" s="3" t="s">
        <v>507</v>
      </c>
      <c r="D52" s="3">
        <v>2876</v>
      </c>
      <c r="E52" s="3">
        <v>44075</v>
      </c>
      <c r="F52" s="3">
        <v>14380</v>
      </c>
      <c r="G52" s="195">
        <v>6327.2000000000007</v>
      </c>
    </row>
    <row r="53" spans="1:7">
      <c r="A53" s="194">
        <v>5</v>
      </c>
      <c r="B53" s="3">
        <v>177011</v>
      </c>
      <c r="C53" s="3" t="s">
        <v>506</v>
      </c>
      <c r="D53" s="3">
        <v>2852</v>
      </c>
      <c r="E53" s="3">
        <v>44166</v>
      </c>
      <c r="F53" s="3">
        <v>14260</v>
      </c>
      <c r="G53" s="195">
        <v>5704</v>
      </c>
    </row>
    <row r="54" spans="1:7">
      <c r="A54" s="194">
        <v>4</v>
      </c>
      <c r="B54" s="3">
        <v>251968</v>
      </c>
      <c r="C54" s="3" t="s">
        <v>506</v>
      </c>
      <c r="D54" s="3">
        <v>2851</v>
      </c>
      <c r="E54" s="3">
        <v>43952</v>
      </c>
      <c r="F54" s="3">
        <v>14255</v>
      </c>
      <c r="G54" s="195">
        <v>5702</v>
      </c>
    </row>
    <row r="55" spans="1:7">
      <c r="A55" s="194">
        <v>2</v>
      </c>
      <c r="B55" s="3">
        <v>374115</v>
      </c>
      <c r="C55" s="3" t="s">
        <v>507</v>
      </c>
      <c r="D55" s="3">
        <v>2844</v>
      </c>
      <c r="E55" s="3">
        <v>43952</v>
      </c>
      <c r="F55" s="3">
        <v>14220</v>
      </c>
      <c r="G55" s="195">
        <v>6256.8</v>
      </c>
    </row>
    <row r="56" spans="1:7">
      <c r="A56" s="194">
        <v>4</v>
      </c>
      <c r="B56" s="3">
        <v>507642</v>
      </c>
      <c r="C56" s="3" t="s">
        <v>505</v>
      </c>
      <c r="D56" s="3">
        <v>2338</v>
      </c>
      <c r="E56" s="3">
        <v>43983</v>
      </c>
      <c r="F56" s="3">
        <v>14028</v>
      </c>
      <c r="G56" s="195">
        <v>6429.5</v>
      </c>
    </row>
    <row r="57" spans="1:7">
      <c r="A57" s="194">
        <v>4</v>
      </c>
      <c r="B57" s="3">
        <v>307196</v>
      </c>
      <c r="C57" s="3" t="s">
        <v>506</v>
      </c>
      <c r="D57" s="3">
        <v>2797</v>
      </c>
      <c r="E57" s="3">
        <v>44166</v>
      </c>
      <c r="F57" s="3">
        <v>13985</v>
      </c>
      <c r="G57" s="195">
        <v>5594</v>
      </c>
    </row>
    <row r="58" spans="1:7">
      <c r="A58" s="194">
        <v>5</v>
      </c>
      <c r="B58" s="3">
        <v>867252</v>
      </c>
      <c r="C58" s="3" t="s">
        <v>506</v>
      </c>
      <c r="D58" s="3">
        <v>2763</v>
      </c>
      <c r="E58" s="3">
        <v>43770</v>
      </c>
      <c r="F58" s="3">
        <v>13815</v>
      </c>
      <c r="G58" s="195">
        <v>5526</v>
      </c>
    </row>
    <row r="59" spans="1:7">
      <c r="A59" s="194">
        <v>4</v>
      </c>
      <c r="B59" s="3">
        <v>410583</v>
      </c>
      <c r="C59" s="3" t="s">
        <v>507</v>
      </c>
      <c r="D59" s="3">
        <v>2761</v>
      </c>
      <c r="E59" s="3">
        <v>43709</v>
      </c>
      <c r="F59" s="3">
        <v>13805</v>
      </c>
      <c r="G59" s="195">
        <v>6074.2000000000007</v>
      </c>
    </row>
    <row r="60" spans="1:7">
      <c r="A60" s="194">
        <v>3</v>
      </c>
      <c r="B60" s="3">
        <v>876370</v>
      </c>
      <c r="C60" s="3" t="s">
        <v>508</v>
      </c>
      <c r="D60" s="3">
        <v>3445.5</v>
      </c>
      <c r="E60" s="3">
        <v>43922</v>
      </c>
      <c r="F60" s="3">
        <v>13782</v>
      </c>
      <c r="G60" s="195">
        <v>5168.25</v>
      </c>
    </row>
    <row r="61" spans="1:7">
      <c r="A61" s="194">
        <v>3</v>
      </c>
      <c r="B61" s="3">
        <v>378254</v>
      </c>
      <c r="C61" s="3" t="s">
        <v>505</v>
      </c>
      <c r="D61" s="3">
        <v>2294</v>
      </c>
      <c r="E61" s="3">
        <v>43739</v>
      </c>
      <c r="F61" s="3">
        <v>13764</v>
      </c>
      <c r="G61" s="195">
        <v>6308.5</v>
      </c>
    </row>
    <row r="62" spans="1:7">
      <c r="A62" s="194">
        <v>3</v>
      </c>
      <c r="B62" s="3">
        <v>736328</v>
      </c>
      <c r="C62" s="3" t="s">
        <v>507</v>
      </c>
      <c r="D62" s="3">
        <v>2750</v>
      </c>
      <c r="E62" s="3">
        <v>43862</v>
      </c>
      <c r="F62" s="3">
        <v>13750</v>
      </c>
      <c r="G62" s="195">
        <v>6050.0000000000009</v>
      </c>
    </row>
    <row r="63" spans="1:7">
      <c r="A63" s="194">
        <v>4</v>
      </c>
      <c r="B63" s="3">
        <v>723364</v>
      </c>
      <c r="C63" s="3" t="s">
        <v>507</v>
      </c>
      <c r="D63" s="3">
        <v>2734</v>
      </c>
      <c r="E63" s="3">
        <v>44105</v>
      </c>
      <c r="F63" s="3">
        <v>13670</v>
      </c>
      <c r="G63" s="195">
        <v>6014.8</v>
      </c>
    </row>
    <row r="64" spans="1:7">
      <c r="A64" s="194">
        <v>2</v>
      </c>
      <c r="B64" s="3">
        <v>306694</v>
      </c>
      <c r="C64" s="3" t="s">
        <v>506</v>
      </c>
      <c r="D64" s="3">
        <v>2729</v>
      </c>
      <c r="E64" s="3">
        <v>44166</v>
      </c>
      <c r="F64" s="3">
        <v>13645</v>
      </c>
      <c r="G64" s="195">
        <v>5458</v>
      </c>
    </row>
    <row r="65" spans="1:7">
      <c r="A65" s="194">
        <v>2</v>
      </c>
      <c r="B65" s="3">
        <v>209116</v>
      </c>
      <c r="C65" s="3" t="s">
        <v>506</v>
      </c>
      <c r="D65" s="3">
        <v>2708</v>
      </c>
      <c r="E65" s="3">
        <v>43862</v>
      </c>
      <c r="F65" s="3">
        <v>13540</v>
      </c>
      <c r="G65" s="195">
        <v>5416</v>
      </c>
    </row>
    <row r="66" spans="1:7">
      <c r="A66" s="194">
        <v>3</v>
      </c>
      <c r="B66" s="3">
        <v>121808</v>
      </c>
      <c r="C66" s="3" t="s">
        <v>506</v>
      </c>
      <c r="D66" s="3">
        <v>2696</v>
      </c>
      <c r="E66" s="3">
        <v>44044</v>
      </c>
      <c r="F66" s="3">
        <v>13480</v>
      </c>
      <c r="G66" s="195">
        <v>5392</v>
      </c>
    </row>
    <row r="67" spans="1:7">
      <c r="A67" s="194">
        <v>5</v>
      </c>
      <c r="B67" s="3">
        <v>335658</v>
      </c>
      <c r="C67" s="3" t="s">
        <v>506</v>
      </c>
      <c r="D67" s="3">
        <v>2689</v>
      </c>
      <c r="E67" s="3">
        <v>44105</v>
      </c>
      <c r="F67" s="3">
        <v>13445</v>
      </c>
      <c r="G67" s="195">
        <v>5378</v>
      </c>
    </row>
    <row r="68" spans="1:7">
      <c r="A68" s="194">
        <v>4</v>
      </c>
      <c r="B68" s="3">
        <v>444225</v>
      </c>
      <c r="C68" s="3" t="s">
        <v>506</v>
      </c>
      <c r="D68" s="3">
        <v>2663</v>
      </c>
      <c r="E68" s="3">
        <v>44166</v>
      </c>
      <c r="F68" s="3">
        <v>13315</v>
      </c>
      <c r="G68" s="195">
        <v>5326</v>
      </c>
    </row>
    <row r="69" spans="1:7">
      <c r="A69" s="194">
        <v>3</v>
      </c>
      <c r="B69" s="3">
        <v>388978</v>
      </c>
      <c r="C69" s="3" t="s">
        <v>506</v>
      </c>
      <c r="D69" s="3">
        <v>2641</v>
      </c>
      <c r="E69" s="3">
        <v>43862</v>
      </c>
      <c r="F69" s="3">
        <v>13205</v>
      </c>
      <c r="G69" s="195">
        <v>5282</v>
      </c>
    </row>
    <row r="70" spans="1:7">
      <c r="A70" s="194">
        <v>2</v>
      </c>
      <c r="B70" s="3">
        <v>123693</v>
      </c>
      <c r="C70" s="3" t="s">
        <v>506</v>
      </c>
      <c r="D70" s="3">
        <v>2632</v>
      </c>
      <c r="E70" s="3">
        <v>43983</v>
      </c>
      <c r="F70" s="3">
        <v>13160</v>
      </c>
      <c r="G70" s="195">
        <v>5264</v>
      </c>
    </row>
    <row r="71" spans="1:7">
      <c r="A71" s="194">
        <v>4</v>
      </c>
      <c r="B71" s="3">
        <v>424398</v>
      </c>
      <c r="C71" s="3" t="s">
        <v>507</v>
      </c>
      <c r="D71" s="3">
        <v>2629</v>
      </c>
      <c r="E71" s="3">
        <v>43831</v>
      </c>
      <c r="F71" s="3">
        <v>13145</v>
      </c>
      <c r="G71" s="195">
        <v>5783.8</v>
      </c>
    </row>
    <row r="72" spans="1:7">
      <c r="A72" s="194">
        <v>5</v>
      </c>
      <c r="B72" s="3">
        <v>587035</v>
      </c>
      <c r="C72" s="3" t="s">
        <v>506</v>
      </c>
      <c r="D72" s="3">
        <v>2620</v>
      </c>
      <c r="E72" s="3">
        <v>44075</v>
      </c>
      <c r="F72" s="3">
        <v>13100</v>
      </c>
      <c r="G72" s="195">
        <v>5240</v>
      </c>
    </row>
    <row r="73" spans="1:7">
      <c r="A73" s="194">
        <v>3</v>
      </c>
      <c r="B73" s="3">
        <v>375461</v>
      </c>
      <c r="C73" s="3" t="s">
        <v>505</v>
      </c>
      <c r="D73" s="3">
        <v>2177</v>
      </c>
      <c r="E73" s="3">
        <v>44105</v>
      </c>
      <c r="F73" s="3">
        <v>13062</v>
      </c>
      <c r="G73" s="195">
        <v>5986.75</v>
      </c>
    </row>
    <row r="74" spans="1:7">
      <c r="A74" s="194">
        <v>1</v>
      </c>
      <c r="B74" s="3">
        <v>806592</v>
      </c>
      <c r="C74" s="3" t="s">
        <v>505</v>
      </c>
      <c r="D74" s="3">
        <v>2161</v>
      </c>
      <c r="E74" s="3">
        <v>43891</v>
      </c>
      <c r="F74" s="3">
        <v>12966</v>
      </c>
      <c r="G74" s="195">
        <v>5942.75</v>
      </c>
    </row>
    <row r="75" spans="1:7">
      <c r="A75" s="194">
        <v>2</v>
      </c>
      <c r="B75" s="3">
        <v>431261</v>
      </c>
      <c r="C75" s="3" t="s">
        <v>505</v>
      </c>
      <c r="D75" s="3">
        <v>2145</v>
      </c>
      <c r="E75" s="3">
        <v>43739</v>
      </c>
      <c r="F75" s="3">
        <v>12870</v>
      </c>
      <c r="G75" s="195">
        <v>5898.75</v>
      </c>
    </row>
    <row r="76" spans="1:7">
      <c r="A76" s="194">
        <v>4</v>
      </c>
      <c r="B76" s="3">
        <v>702523</v>
      </c>
      <c r="C76" s="3" t="s">
        <v>507</v>
      </c>
      <c r="D76" s="3">
        <v>2574</v>
      </c>
      <c r="E76" s="3">
        <v>44044</v>
      </c>
      <c r="F76" s="3">
        <v>12870</v>
      </c>
      <c r="G76" s="195">
        <v>5662.8</v>
      </c>
    </row>
    <row r="77" spans="1:7">
      <c r="A77" s="194">
        <v>2</v>
      </c>
      <c r="B77" s="3">
        <v>334678</v>
      </c>
      <c r="C77" s="3" t="s">
        <v>506</v>
      </c>
      <c r="D77" s="3">
        <v>2565</v>
      </c>
      <c r="E77" s="3">
        <v>43831</v>
      </c>
      <c r="F77" s="3">
        <v>12825</v>
      </c>
      <c r="G77" s="195">
        <v>5130</v>
      </c>
    </row>
    <row r="78" spans="1:7">
      <c r="A78" s="194">
        <v>3</v>
      </c>
      <c r="B78" s="3">
        <v>408804</v>
      </c>
      <c r="C78" s="3" t="s">
        <v>506</v>
      </c>
      <c r="D78" s="3">
        <v>2559</v>
      </c>
      <c r="E78" s="3">
        <v>44044</v>
      </c>
      <c r="F78" s="3">
        <v>12795</v>
      </c>
      <c r="G78" s="195">
        <v>5118</v>
      </c>
    </row>
    <row r="79" spans="1:7">
      <c r="A79" s="194">
        <v>4</v>
      </c>
      <c r="B79" s="3">
        <v>519269</v>
      </c>
      <c r="C79" s="3" t="s">
        <v>507</v>
      </c>
      <c r="D79" s="3">
        <v>2548</v>
      </c>
      <c r="E79" s="3">
        <v>43770</v>
      </c>
      <c r="F79" s="3">
        <v>12740</v>
      </c>
      <c r="G79" s="195">
        <v>5605.6</v>
      </c>
    </row>
    <row r="80" spans="1:7">
      <c r="A80" s="194">
        <v>3</v>
      </c>
      <c r="B80" s="3">
        <v>844763</v>
      </c>
      <c r="C80" s="3" t="s">
        <v>506</v>
      </c>
      <c r="D80" s="3">
        <v>2535</v>
      </c>
      <c r="E80" s="3">
        <v>43922</v>
      </c>
      <c r="F80" s="3">
        <v>12675</v>
      </c>
      <c r="G80" s="195">
        <v>5070</v>
      </c>
    </row>
    <row r="81" spans="1:7">
      <c r="A81" s="194">
        <v>3</v>
      </c>
      <c r="B81" s="3">
        <v>436809</v>
      </c>
      <c r="C81" s="3" t="s">
        <v>506</v>
      </c>
      <c r="D81" s="3">
        <v>2532</v>
      </c>
      <c r="E81" s="3">
        <v>43922</v>
      </c>
      <c r="F81" s="3">
        <v>12660</v>
      </c>
      <c r="G81" s="195">
        <v>5064</v>
      </c>
    </row>
    <row r="82" spans="1:7">
      <c r="A82" s="194">
        <v>5</v>
      </c>
      <c r="B82" s="3">
        <v>764088</v>
      </c>
      <c r="C82" s="3" t="s">
        <v>505</v>
      </c>
      <c r="D82" s="3">
        <v>2110</v>
      </c>
      <c r="E82" s="3">
        <v>44075</v>
      </c>
      <c r="F82" s="3">
        <v>12660</v>
      </c>
      <c r="G82" s="195">
        <v>5802.5</v>
      </c>
    </row>
    <row r="83" spans="1:7">
      <c r="A83" s="194">
        <v>3</v>
      </c>
      <c r="B83" s="3">
        <v>684759</v>
      </c>
      <c r="C83" s="3" t="s">
        <v>506</v>
      </c>
      <c r="D83" s="3">
        <v>2518</v>
      </c>
      <c r="E83" s="3">
        <v>43983</v>
      </c>
      <c r="F83" s="3">
        <v>12590</v>
      </c>
      <c r="G83" s="195">
        <v>5036</v>
      </c>
    </row>
    <row r="84" spans="1:7">
      <c r="A84" s="194">
        <v>2</v>
      </c>
      <c r="B84" s="3">
        <v>894331</v>
      </c>
      <c r="C84" s="3" t="s">
        <v>505</v>
      </c>
      <c r="D84" s="3">
        <v>2092</v>
      </c>
      <c r="E84" s="3">
        <v>43770</v>
      </c>
      <c r="F84" s="3">
        <v>12552</v>
      </c>
      <c r="G84" s="195">
        <v>5753</v>
      </c>
    </row>
    <row r="85" spans="1:7">
      <c r="A85" s="194">
        <v>1</v>
      </c>
      <c r="B85" s="3">
        <v>529471</v>
      </c>
      <c r="C85" s="3" t="s">
        <v>505</v>
      </c>
      <c r="D85" s="3">
        <v>2087</v>
      </c>
      <c r="E85" s="3">
        <v>44075</v>
      </c>
      <c r="F85" s="3">
        <v>12522</v>
      </c>
      <c r="G85" s="195">
        <v>5739.25</v>
      </c>
    </row>
    <row r="86" spans="1:7">
      <c r="A86" s="194">
        <v>1</v>
      </c>
      <c r="B86" s="3">
        <v>881268</v>
      </c>
      <c r="C86" s="3" t="s">
        <v>505</v>
      </c>
      <c r="D86" s="3">
        <v>2076</v>
      </c>
      <c r="E86" s="3">
        <v>43739</v>
      </c>
      <c r="F86" s="3">
        <v>12456</v>
      </c>
      <c r="G86" s="195">
        <v>5709</v>
      </c>
    </row>
    <row r="87" spans="1:7">
      <c r="A87" s="194">
        <v>3</v>
      </c>
      <c r="B87" s="3">
        <v>683349</v>
      </c>
      <c r="C87" s="3" t="s">
        <v>507</v>
      </c>
      <c r="D87" s="3">
        <v>2475</v>
      </c>
      <c r="E87" s="3">
        <v>43891</v>
      </c>
      <c r="F87" s="3">
        <v>12375</v>
      </c>
      <c r="G87" s="195">
        <v>5445</v>
      </c>
    </row>
    <row r="88" spans="1:7">
      <c r="A88" s="194">
        <v>4</v>
      </c>
      <c r="B88" s="3">
        <v>140516</v>
      </c>
      <c r="C88" s="3" t="s">
        <v>507</v>
      </c>
      <c r="D88" s="3">
        <v>2475</v>
      </c>
      <c r="E88" s="3">
        <v>44044</v>
      </c>
      <c r="F88" s="3">
        <v>12375</v>
      </c>
      <c r="G88" s="195">
        <v>5445</v>
      </c>
    </row>
    <row r="89" spans="1:7">
      <c r="A89" s="194">
        <v>5</v>
      </c>
      <c r="B89" s="3">
        <v>703997</v>
      </c>
      <c r="C89" s="3" t="s">
        <v>506</v>
      </c>
      <c r="D89" s="3">
        <v>2472</v>
      </c>
      <c r="E89" s="3">
        <v>44075</v>
      </c>
      <c r="F89" s="3">
        <v>12360</v>
      </c>
      <c r="G89" s="195">
        <v>4944</v>
      </c>
    </row>
    <row r="90" spans="1:7">
      <c r="A90" s="194">
        <v>3</v>
      </c>
      <c r="B90" s="3">
        <v>864409</v>
      </c>
      <c r="C90" s="3" t="s">
        <v>506</v>
      </c>
      <c r="D90" s="3">
        <v>2470</v>
      </c>
      <c r="E90" s="3">
        <v>43709</v>
      </c>
      <c r="F90" s="3">
        <v>12350</v>
      </c>
      <c r="G90" s="195">
        <v>4940</v>
      </c>
    </row>
    <row r="91" spans="1:7">
      <c r="A91" s="194">
        <v>3</v>
      </c>
      <c r="B91" s="3">
        <v>496123</v>
      </c>
      <c r="C91" s="3" t="s">
        <v>506</v>
      </c>
      <c r="D91" s="3">
        <v>2460</v>
      </c>
      <c r="E91" s="3">
        <v>43983</v>
      </c>
      <c r="F91" s="3">
        <v>12300</v>
      </c>
      <c r="G91" s="195">
        <v>4920</v>
      </c>
    </row>
    <row r="92" spans="1:7">
      <c r="A92" s="194">
        <v>3</v>
      </c>
      <c r="B92" s="3">
        <v>235897</v>
      </c>
      <c r="C92" s="3" t="s">
        <v>507</v>
      </c>
      <c r="D92" s="3">
        <v>2460</v>
      </c>
      <c r="E92" s="3">
        <v>43983</v>
      </c>
      <c r="F92" s="3">
        <v>12300</v>
      </c>
      <c r="G92" s="195">
        <v>5412</v>
      </c>
    </row>
    <row r="93" spans="1:7">
      <c r="A93" s="194">
        <v>3</v>
      </c>
      <c r="B93" s="3">
        <v>120842</v>
      </c>
      <c r="C93" s="3" t="s">
        <v>506</v>
      </c>
      <c r="D93" s="3">
        <v>2441</v>
      </c>
      <c r="E93" s="3">
        <v>44105</v>
      </c>
      <c r="F93" s="3">
        <v>12205</v>
      </c>
      <c r="G93" s="195">
        <v>4882</v>
      </c>
    </row>
    <row r="94" spans="1:7">
      <c r="A94" s="194">
        <v>2</v>
      </c>
      <c r="B94" s="3">
        <v>859158</v>
      </c>
      <c r="C94" s="3" t="s">
        <v>506</v>
      </c>
      <c r="D94" s="3">
        <v>2434.5</v>
      </c>
      <c r="E94" s="3">
        <v>43831</v>
      </c>
      <c r="F94" s="3">
        <v>12172.5</v>
      </c>
      <c r="G94" s="195">
        <v>4869</v>
      </c>
    </row>
    <row r="95" spans="1:7">
      <c r="A95" s="194">
        <v>5</v>
      </c>
      <c r="B95" s="3">
        <v>115582</v>
      </c>
      <c r="C95" s="3" t="s">
        <v>506</v>
      </c>
      <c r="D95" s="3">
        <v>2431</v>
      </c>
      <c r="E95" s="3">
        <v>44166</v>
      </c>
      <c r="F95" s="3">
        <v>12155</v>
      </c>
      <c r="G95" s="195">
        <v>4862</v>
      </c>
    </row>
    <row r="96" spans="1:7">
      <c r="A96" s="194">
        <v>4</v>
      </c>
      <c r="B96" s="3">
        <v>442121</v>
      </c>
      <c r="C96" s="3" t="s">
        <v>506</v>
      </c>
      <c r="D96" s="3">
        <v>2428</v>
      </c>
      <c r="E96" s="3">
        <v>43891</v>
      </c>
      <c r="F96" s="3">
        <v>12140</v>
      </c>
      <c r="G96" s="195">
        <v>4856</v>
      </c>
    </row>
    <row r="97" spans="1:7">
      <c r="A97" s="194">
        <v>2</v>
      </c>
      <c r="B97" s="3">
        <v>146841</v>
      </c>
      <c r="C97" s="3" t="s">
        <v>506</v>
      </c>
      <c r="D97" s="3">
        <v>2425.5</v>
      </c>
      <c r="E97" s="3">
        <v>44013</v>
      </c>
      <c r="F97" s="3">
        <v>12127.5</v>
      </c>
      <c r="G97" s="195">
        <v>4851</v>
      </c>
    </row>
    <row r="98" spans="1:7">
      <c r="A98" s="194">
        <v>5</v>
      </c>
      <c r="B98" s="3">
        <v>527753</v>
      </c>
      <c r="C98" s="3" t="s">
        <v>506</v>
      </c>
      <c r="D98" s="3">
        <v>2417</v>
      </c>
      <c r="E98" s="3">
        <v>43831</v>
      </c>
      <c r="F98" s="3">
        <v>12085</v>
      </c>
      <c r="G98" s="195">
        <v>4834</v>
      </c>
    </row>
    <row r="99" spans="1:7">
      <c r="A99" s="194">
        <v>4</v>
      </c>
      <c r="B99" s="3">
        <v>899743</v>
      </c>
      <c r="C99" s="3" t="s">
        <v>505</v>
      </c>
      <c r="D99" s="3">
        <v>2009</v>
      </c>
      <c r="E99" s="3">
        <v>44105</v>
      </c>
      <c r="F99" s="3">
        <v>12054</v>
      </c>
      <c r="G99" s="195">
        <v>5524.75</v>
      </c>
    </row>
    <row r="100" spans="1:7">
      <c r="A100" s="194">
        <v>3</v>
      </c>
      <c r="B100" s="3">
        <v>231476</v>
      </c>
      <c r="C100" s="3" t="s">
        <v>506</v>
      </c>
      <c r="D100" s="3">
        <v>2409</v>
      </c>
      <c r="E100" s="3">
        <v>43709</v>
      </c>
      <c r="F100" s="3">
        <v>12045</v>
      </c>
      <c r="G100" s="195">
        <v>4818</v>
      </c>
    </row>
    <row r="101" spans="1:7">
      <c r="A101" s="194">
        <v>1</v>
      </c>
      <c r="B101" s="3">
        <v>727283</v>
      </c>
      <c r="C101" s="3" t="s">
        <v>508</v>
      </c>
      <c r="D101" s="3">
        <v>2996</v>
      </c>
      <c r="E101" s="3">
        <v>43739</v>
      </c>
      <c r="F101" s="3">
        <v>11984</v>
      </c>
      <c r="G101" s="195">
        <v>4494</v>
      </c>
    </row>
    <row r="102" spans="1:7">
      <c r="A102" s="194">
        <v>4</v>
      </c>
      <c r="B102" s="3">
        <v>466133</v>
      </c>
      <c r="C102" s="3" t="s">
        <v>506</v>
      </c>
      <c r="D102" s="3">
        <v>2394</v>
      </c>
      <c r="E102" s="3">
        <v>44044</v>
      </c>
      <c r="F102" s="3">
        <v>11970</v>
      </c>
      <c r="G102" s="195">
        <v>4788</v>
      </c>
    </row>
    <row r="103" spans="1:7">
      <c r="A103" s="194">
        <v>4</v>
      </c>
      <c r="B103" s="3">
        <v>726489</v>
      </c>
      <c r="C103" s="3" t="s">
        <v>506</v>
      </c>
      <c r="D103" s="3">
        <v>2385</v>
      </c>
      <c r="E103" s="3">
        <v>43891</v>
      </c>
      <c r="F103" s="3">
        <v>11925</v>
      </c>
      <c r="G103" s="195">
        <v>4770</v>
      </c>
    </row>
    <row r="104" spans="1:7">
      <c r="A104" s="194">
        <v>4</v>
      </c>
      <c r="B104" s="3">
        <v>235009</v>
      </c>
      <c r="C104" s="3" t="s">
        <v>505</v>
      </c>
      <c r="D104" s="3">
        <v>1976</v>
      </c>
      <c r="E104" s="3">
        <v>44105</v>
      </c>
      <c r="F104" s="3">
        <v>11856</v>
      </c>
      <c r="G104" s="195">
        <v>5434</v>
      </c>
    </row>
    <row r="105" spans="1:7">
      <c r="A105" s="194">
        <v>4</v>
      </c>
      <c r="B105" s="3">
        <v>550816</v>
      </c>
      <c r="C105" s="3" t="s">
        <v>506</v>
      </c>
      <c r="D105" s="3">
        <v>2363</v>
      </c>
      <c r="E105" s="3">
        <v>43862</v>
      </c>
      <c r="F105" s="3">
        <v>11815</v>
      </c>
      <c r="G105" s="195">
        <v>4726</v>
      </c>
    </row>
    <row r="106" spans="1:7">
      <c r="A106" s="194">
        <v>2</v>
      </c>
      <c r="B106" s="3">
        <v>751733</v>
      </c>
      <c r="C106" s="3" t="s">
        <v>505</v>
      </c>
      <c r="D106" s="3">
        <v>1967</v>
      </c>
      <c r="E106" s="3">
        <v>43891</v>
      </c>
      <c r="F106" s="3">
        <v>11802</v>
      </c>
      <c r="G106" s="195">
        <v>5409.25</v>
      </c>
    </row>
    <row r="107" spans="1:7">
      <c r="A107" s="194">
        <v>2</v>
      </c>
      <c r="B107" s="3">
        <v>678731</v>
      </c>
      <c r="C107" s="3" t="s">
        <v>506</v>
      </c>
      <c r="D107" s="3">
        <v>2349</v>
      </c>
      <c r="E107" s="3">
        <v>43709</v>
      </c>
      <c r="F107" s="3">
        <v>11745</v>
      </c>
      <c r="G107" s="195">
        <v>4698</v>
      </c>
    </row>
    <row r="108" spans="1:7">
      <c r="A108" s="194">
        <v>1</v>
      </c>
      <c r="B108" s="3">
        <v>779126</v>
      </c>
      <c r="C108" s="3" t="s">
        <v>506</v>
      </c>
      <c r="D108" s="3">
        <v>2327</v>
      </c>
      <c r="E108" s="3">
        <v>43952</v>
      </c>
      <c r="F108" s="3">
        <v>11635</v>
      </c>
      <c r="G108" s="195">
        <v>4654</v>
      </c>
    </row>
    <row r="109" spans="1:7">
      <c r="A109" s="194">
        <v>1</v>
      </c>
      <c r="B109" s="3">
        <v>219485</v>
      </c>
      <c r="C109" s="3" t="s">
        <v>509</v>
      </c>
      <c r="D109" s="3">
        <v>3874.5</v>
      </c>
      <c r="E109" s="3">
        <v>44013</v>
      </c>
      <c r="F109" s="3">
        <v>11623.5</v>
      </c>
      <c r="G109" s="195">
        <v>4843.125</v>
      </c>
    </row>
    <row r="110" spans="1:7">
      <c r="A110" s="194">
        <v>2</v>
      </c>
      <c r="B110" s="3">
        <v>482625</v>
      </c>
      <c r="C110" s="3" t="s">
        <v>505</v>
      </c>
      <c r="D110" s="3">
        <v>1916</v>
      </c>
      <c r="E110" s="3">
        <v>43800</v>
      </c>
      <c r="F110" s="3">
        <v>11496</v>
      </c>
      <c r="G110" s="195">
        <v>5269</v>
      </c>
    </row>
    <row r="111" spans="1:7">
      <c r="A111" s="194">
        <v>3</v>
      </c>
      <c r="B111" s="3">
        <v>176592</v>
      </c>
      <c r="C111" s="3" t="s">
        <v>506</v>
      </c>
      <c r="D111" s="3">
        <v>2299</v>
      </c>
      <c r="E111" s="3">
        <v>43739</v>
      </c>
      <c r="F111" s="3">
        <v>11495</v>
      </c>
      <c r="G111" s="195">
        <v>4598</v>
      </c>
    </row>
    <row r="112" spans="1:7">
      <c r="A112" s="194">
        <v>4</v>
      </c>
      <c r="B112" s="3">
        <v>579016</v>
      </c>
      <c r="C112" s="3" t="s">
        <v>506</v>
      </c>
      <c r="D112" s="3">
        <v>2296</v>
      </c>
      <c r="E112" s="3">
        <v>43862</v>
      </c>
      <c r="F112" s="3">
        <v>11480</v>
      </c>
      <c r="G112" s="195">
        <v>4592</v>
      </c>
    </row>
    <row r="113" spans="1:7">
      <c r="A113" s="194">
        <v>1</v>
      </c>
      <c r="B113" s="3">
        <v>866409</v>
      </c>
      <c r="C113" s="3" t="s">
        <v>508</v>
      </c>
      <c r="D113" s="3">
        <v>2852</v>
      </c>
      <c r="E113" s="3">
        <v>44166</v>
      </c>
      <c r="F113" s="3">
        <v>11408</v>
      </c>
      <c r="G113" s="195">
        <v>4278</v>
      </c>
    </row>
    <row r="114" spans="1:7">
      <c r="A114" s="194">
        <v>2</v>
      </c>
      <c r="B114" s="3">
        <v>654585</v>
      </c>
      <c r="C114" s="3" t="s">
        <v>508</v>
      </c>
      <c r="D114" s="3">
        <v>2851</v>
      </c>
      <c r="E114" s="3">
        <v>43739</v>
      </c>
      <c r="F114" s="3">
        <v>11404</v>
      </c>
      <c r="G114" s="195">
        <v>4276.5</v>
      </c>
    </row>
    <row r="115" spans="1:7">
      <c r="A115" s="194">
        <v>4</v>
      </c>
      <c r="B115" s="3">
        <v>655952</v>
      </c>
      <c r="C115" s="3" t="s">
        <v>507</v>
      </c>
      <c r="D115" s="3">
        <v>2276</v>
      </c>
      <c r="E115" s="3">
        <v>43952</v>
      </c>
      <c r="F115" s="3">
        <v>11380</v>
      </c>
      <c r="G115" s="195">
        <v>5007.2000000000007</v>
      </c>
    </row>
    <row r="116" spans="1:7">
      <c r="A116" s="194">
        <v>2</v>
      </c>
      <c r="B116" s="3">
        <v>779393</v>
      </c>
      <c r="C116" s="3" t="s">
        <v>508</v>
      </c>
      <c r="D116" s="3">
        <v>2844</v>
      </c>
      <c r="E116" s="3">
        <v>43983</v>
      </c>
      <c r="F116" s="3">
        <v>11376</v>
      </c>
      <c r="G116" s="195">
        <v>4266</v>
      </c>
    </row>
    <row r="117" spans="1:7">
      <c r="A117" s="194">
        <v>2</v>
      </c>
      <c r="B117" s="3">
        <v>738910</v>
      </c>
      <c r="C117" s="3" t="s">
        <v>506</v>
      </c>
      <c r="D117" s="3">
        <v>2261</v>
      </c>
      <c r="E117" s="3">
        <v>43800</v>
      </c>
      <c r="F117" s="3">
        <v>11305</v>
      </c>
      <c r="G117" s="195">
        <v>4522</v>
      </c>
    </row>
    <row r="118" spans="1:7">
      <c r="A118" s="194">
        <v>4</v>
      </c>
      <c r="B118" s="3">
        <v>384743</v>
      </c>
      <c r="C118" s="3" t="s">
        <v>508</v>
      </c>
      <c r="D118" s="3">
        <v>2821</v>
      </c>
      <c r="E118" s="3">
        <v>43800</v>
      </c>
      <c r="F118" s="3">
        <v>11284</v>
      </c>
      <c r="G118" s="195">
        <v>4231.5</v>
      </c>
    </row>
    <row r="119" spans="1:7">
      <c r="A119" s="194">
        <v>2</v>
      </c>
      <c r="B119" s="3">
        <v>327555</v>
      </c>
      <c r="C119" s="3" t="s">
        <v>508</v>
      </c>
      <c r="D119" s="3">
        <v>2811</v>
      </c>
      <c r="E119" s="3">
        <v>44013</v>
      </c>
      <c r="F119" s="3">
        <v>11244</v>
      </c>
      <c r="G119" s="195">
        <v>4216.5</v>
      </c>
    </row>
    <row r="120" spans="1:7">
      <c r="A120" s="194">
        <v>3</v>
      </c>
      <c r="B120" s="3">
        <v>761022</v>
      </c>
      <c r="C120" s="3" t="s">
        <v>507</v>
      </c>
      <c r="D120" s="3">
        <v>2240</v>
      </c>
      <c r="E120" s="3">
        <v>43862</v>
      </c>
      <c r="F120" s="3">
        <v>11200</v>
      </c>
      <c r="G120" s="195">
        <v>4928</v>
      </c>
    </row>
    <row r="121" spans="1:7">
      <c r="A121" s="194">
        <v>2</v>
      </c>
      <c r="B121" s="3">
        <v>812448</v>
      </c>
      <c r="C121" s="3" t="s">
        <v>508</v>
      </c>
      <c r="D121" s="3">
        <v>2791</v>
      </c>
      <c r="E121" s="3">
        <v>44136</v>
      </c>
      <c r="F121" s="3">
        <v>11164</v>
      </c>
      <c r="G121" s="195">
        <v>4186.5</v>
      </c>
    </row>
    <row r="122" spans="1:7">
      <c r="A122" s="194">
        <v>4</v>
      </c>
      <c r="B122" s="3">
        <v>754823</v>
      </c>
      <c r="C122" s="3" t="s">
        <v>506</v>
      </c>
      <c r="D122" s="3">
        <v>2222</v>
      </c>
      <c r="E122" s="3">
        <v>43770</v>
      </c>
      <c r="F122" s="3">
        <v>11110</v>
      </c>
      <c r="G122" s="195">
        <v>4444</v>
      </c>
    </row>
    <row r="123" spans="1:7">
      <c r="A123" s="194">
        <v>4</v>
      </c>
      <c r="B123" s="3">
        <v>858434</v>
      </c>
      <c r="C123" s="3" t="s">
        <v>508</v>
      </c>
      <c r="D123" s="3">
        <v>2767</v>
      </c>
      <c r="E123" s="3">
        <v>44044</v>
      </c>
      <c r="F123" s="3">
        <v>11068</v>
      </c>
      <c r="G123" s="195">
        <v>4150.5</v>
      </c>
    </row>
    <row r="124" spans="1:7">
      <c r="A124" s="194">
        <v>3</v>
      </c>
      <c r="B124" s="3">
        <v>698245</v>
      </c>
      <c r="C124" s="3" t="s">
        <v>506</v>
      </c>
      <c r="D124" s="3">
        <v>2198</v>
      </c>
      <c r="E124" s="3">
        <v>44044</v>
      </c>
      <c r="F124" s="3">
        <v>10990</v>
      </c>
      <c r="G124" s="195">
        <v>4396</v>
      </c>
    </row>
    <row r="125" spans="1:7">
      <c r="A125" s="194">
        <v>2</v>
      </c>
      <c r="B125" s="3">
        <v>356550</v>
      </c>
      <c r="C125" s="3" t="s">
        <v>505</v>
      </c>
      <c r="D125" s="3">
        <v>1808</v>
      </c>
      <c r="E125" s="3">
        <v>44136</v>
      </c>
      <c r="F125" s="3">
        <v>10848</v>
      </c>
      <c r="G125" s="195">
        <v>4972</v>
      </c>
    </row>
    <row r="126" spans="1:7">
      <c r="A126" s="194">
        <v>3</v>
      </c>
      <c r="B126" s="3">
        <v>712767</v>
      </c>
      <c r="C126" s="3" t="s">
        <v>506</v>
      </c>
      <c r="D126" s="3">
        <v>2167</v>
      </c>
      <c r="E126" s="3">
        <v>43739</v>
      </c>
      <c r="F126" s="3">
        <v>10835</v>
      </c>
      <c r="G126" s="195">
        <v>4334</v>
      </c>
    </row>
    <row r="127" spans="1:7">
      <c r="A127" s="194">
        <v>4</v>
      </c>
      <c r="B127" s="3">
        <v>775360</v>
      </c>
      <c r="C127" s="3" t="s">
        <v>505</v>
      </c>
      <c r="D127" s="3">
        <v>1804</v>
      </c>
      <c r="E127" s="3">
        <v>43862</v>
      </c>
      <c r="F127" s="3">
        <v>10824</v>
      </c>
      <c r="G127" s="195">
        <v>4961</v>
      </c>
    </row>
    <row r="128" spans="1:7">
      <c r="A128" s="194">
        <v>5</v>
      </c>
      <c r="B128" s="3">
        <v>535522</v>
      </c>
      <c r="C128" s="3" t="s">
        <v>508</v>
      </c>
      <c r="D128" s="3">
        <v>2706</v>
      </c>
      <c r="E128" s="3">
        <v>43770</v>
      </c>
      <c r="F128" s="3">
        <v>10824</v>
      </c>
      <c r="G128" s="195">
        <v>4059</v>
      </c>
    </row>
    <row r="129" spans="1:7">
      <c r="A129" s="194">
        <v>5</v>
      </c>
      <c r="B129" s="3">
        <v>441751</v>
      </c>
      <c r="C129" s="3" t="s">
        <v>507</v>
      </c>
      <c r="D129" s="3">
        <v>2157</v>
      </c>
      <c r="E129" s="3">
        <v>44166</v>
      </c>
      <c r="F129" s="3">
        <v>10785</v>
      </c>
      <c r="G129" s="195">
        <v>4745.4000000000005</v>
      </c>
    </row>
    <row r="130" spans="1:7">
      <c r="A130" s="194">
        <v>5</v>
      </c>
      <c r="B130" s="3">
        <v>714255</v>
      </c>
      <c r="C130" s="3" t="s">
        <v>506</v>
      </c>
      <c r="D130" s="3">
        <v>2156</v>
      </c>
      <c r="E130" s="3">
        <v>44105</v>
      </c>
      <c r="F130" s="3">
        <v>10780</v>
      </c>
      <c r="G130" s="195">
        <v>4312</v>
      </c>
    </row>
    <row r="131" spans="1:7">
      <c r="A131" s="194">
        <v>1</v>
      </c>
      <c r="B131" s="3">
        <v>481324</v>
      </c>
      <c r="C131" s="3" t="s">
        <v>506</v>
      </c>
      <c r="D131" s="3">
        <v>2155</v>
      </c>
      <c r="E131" s="3">
        <v>44166</v>
      </c>
      <c r="F131" s="3">
        <v>10775</v>
      </c>
      <c r="G131" s="195">
        <v>4310</v>
      </c>
    </row>
    <row r="132" spans="1:7">
      <c r="A132" s="194">
        <v>5</v>
      </c>
      <c r="B132" s="3">
        <v>529550</v>
      </c>
      <c r="C132" s="3" t="s">
        <v>506</v>
      </c>
      <c r="D132" s="3">
        <v>2152</v>
      </c>
      <c r="E132" s="3">
        <v>43800</v>
      </c>
      <c r="F132" s="3">
        <v>10760</v>
      </c>
      <c r="G132" s="195">
        <v>4304</v>
      </c>
    </row>
    <row r="133" spans="1:7">
      <c r="A133" s="194">
        <v>1</v>
      </c>
      <c r="B133" s="3">
        <v>483789</v>
      </c>
      <c r="C133" s="3" t="s">
        <v>508</v>
      </c>
      <c r="D133" s="3">
        <v>2689</v>
      </c>
      <c r="E133" s="3">
        <v>44136</v>
      </c>
      <c r="F133" s="3">
        <v>10756</v>
      </c>
      <c r="G133" s="195">
        <v>4033.5</v>
      </c>
    </row>
    <row r="134" spans="1:7">
      <c r="A134" s="194">
        <v>3</v>
      </c>
      <c r="B134" s="3">
        <v>708450</v>
      </c>
      <c r="C134" s="3" t="s">
        <v>506</v>
      </c>
      <c r="D134" s="3">
        <v>2151</v>
      </c>
      <c r="E134" s="3">
        <v>43770</v>
      </c>
      <c r="F134" s="3">
        <v>10755</v>
      </c>
      <c r="G134" s="195">
        <v>4302</v>
      </c>
    </row>
    <row r="135" spans="1:7">
      <c r="A135" s="194">
        <v>2</v>
      </c>
      <c r="B135" s="3">
        <v>389356</v>
      </c>
      <c r="C135" s="3" t="s">
        <v>506</v>
      </c>
      <c r="D135" s="3">
        <v>2150</v>
      </c>
      <c r="E135" s="3">
        <v>44136</v>
      </c>
      <c r="F135" s="3">
        <v>10750</v>
      </c>
      <c r="G135" s="195">
        <v>4300</v>
      </c>
    </row>
    <row r="136" spans="1:7">
      <c r="A136" s="194">
        <v>3</v>
      </c>
      <c r="B136" s="3">
        <v>263663</v>
      </c>
      <c r="C136" s="3" t="s">
        <v>506</v>
      </c>
      <c r="D136" s="3">
        <v>2146</v>
      </c>
      <c r="E136" s="3">
        <v>43770</v>
      </c>
      <c r="F136" s="3">
        <v>10730</v>
      </c>
      <c r="G136" s="195">
        <v>4292</v>
      </c>
    </row>
    <row r="137" spans="1:7">
      <c r="A137" s="194">
        <v>3</v>
      </c>
      <c r="B137" s="3">
        <v>505159</v>
      </c>
      <c r="C137" s="3" t="s">
        <v>506</v>
      </c>
      <c r="D137" s="3">
        <v>2145</v>
      </c>
      <c r="E137" s="3">
        <v>43739</v>
      </c>
      <c r="F137" s="3">
        <v>10725</v>
      </c>
      <c r="G137" s="195">
        <v>4290</v>
      </c>
    </row>
    <row r="138" spans="1:7">
      <c r="A138" s="194">
        <v>2</v>
      </c>
      <c r="B138" s="3">
        <v>348619</v>
      </c>
      <c r="C138" s="3" t="s">
        <v>507</v>
      </c>
      <c r="D138" s="3">
        <v>2141</v>
      </c>
      <c r="E138" s="3">
        <v>44044</v>
      </c>
      <c r="F138" s="3">
        <v>10705</v>
      </c>
      <c r="G138" s="195">
        <v>4710.2000000000007</v>
      </c>
    </row>
    <row r="139" spans="1:7">
      <c r="A139" s="194">
        <v>5</v>
      </c>
      <c r="B139" s="3">
        <v>111799</v>
      </c>
      <c r="C139" s="3" t="s">
        <v>508</v>
      </c>
      <c r="D139" s="3">
        <v>2671</v>
      </c>
      <c r="E139" s="3">
        <v>44075</v>
      </c>
      <c r="F139" s="3">
        <v>10684</v>
      </c>
      <c r="G139" s="195">
        <v>4006.5</v>
      </c>
    </row>
    <row r="140" spans="1:7">
      <c r="A140" s="194">
        <v>4</v>
      </c>
      <c r="B140" s="3">
        <v>685544</v>
      </c>
      <c r="C140" s="3" t="s">
        <v>506</v>
      </c>
      <c r="D140" s="3">
        <v>2136</v>
      </c>
      <c r="E140" s="3">
        <v>43800</v>
      </c>
      <c r="F140" s="3">
        <v>10680</v>
      </c>
      <c r="G140" s="195">
        <v>4272</v>
      </c>
    </row>
    <row r="141" spans="1:7">
      <c r="A141" s="194">
        <v>3</v>
      </c>
      <c r="B141" s="3">
        <v>146778</v>
      </c>
      <c r="C141" s="3" t="s">
        <v>506</v>
      </c>
      <c r="D141" s="3">
        <v>2125</v>
      </c>
      <c r="E141" s="3">
        <v>43800</v>
      </c>
      <c r="F141" s="3">
        <v>10625</v>
      </c>
      <c r="G141" s="195">
        <v>4250</v>
      </c>
    </row>
    <row r="142" spans="1:7">
      <c r="A142" s="194">
        <v>1</v>
      </c>
      <c r="B142" s="3">
        <v>636993</v>
      </c>
      <c r="C142" s="3" t="s">
        <v>506</v>
      </c>
      <c r="D142" s="3">
        <v>2116</v>
      </c>
      <c r="E142" s="3">
        <v>43800</v>
      </c>
      <c r="F142" s="3">
        <v>10580</v>
      </c>
      <c r="G142" s="195">
        <v>4232</v>
      </c>
    </row>
    <row r="143" spans="1:7">
      <c r="A143" s="194">
        <v>3</v>
      </c>
      <c r="B143" s="3">
        <v>735406</v>
      </c>
      <c r="C143" s="3" t="s">
        <v>506</v>
      </c>
      <c r="D143" s="3">
        <v>2104.5</v>
      </c>
      <c r="E143" s="3">
        <v>44013</v>
      </c>
      <c r="F143" s="3">
        <v>10522.5</v>
      </c>
      <c r="G143" s="195">
        <v>4209</v>
      </c>
    </row>
    <row r="144" spans="1:7">
      <c r="A144" s="194">
        <v>5</v>
      </c>
      <c r="B144" s="3">
        <v>126864</v>
      </c>
      <c r="C144" s="3" t="s">
        <v>506</v>
      </c>
      <c r="D144" s="3">
        <v>2101</v>
      </c>
      <c r="E144" s="3">
        <v>44044</v>
      </c>
      <c r="F144" s="3">
        <v>10505</v>
      </c>
      <c r="G144" s="195">
        <v>4202</v>
      </c>
    </row>
    <row r="145" spans="1:7">
      <c r="A145" s="194">
        <v>3</v>
      </c>
      <c r="B145" s="3">
        <v>657776</v>
      </c>
      <c r="C145" s="3" t="s">
        <v>507</v>
      </c>
      <c r="D145" s="3">
        <v>2076</v>
      </c>
      <c r="E145" s="3">
        <v>43739</v>
      </c>
      <c r="F145" s="3">
        <v>10380</v>
      </c>
      <c r="G145" s="195">
        <v>4567.2000000000007</v>
      </c>
    </row>
    <row r="146" spans="1:7">
      <c r="A146" s="194">
        <v>3</v>
      </c>
      <c r="B146" s="3">
        <v>255145</v>
      </c>
      <c r="C146" s="3" t="s">
        <v>506</v>
      </c>
      <c r="D146" s="3">
        <v>2074</v>
      </c>
      <c r="E146" s="3">
        <v>44075</v>
      </c>
      <c r="F146" s="3">
        <v>10370</v>
      </c>
      <c r="G146" s="195">
        <v>4148</v>
      </c>
    </row>
    <row r="147" spans="1:7">
      <c r="A147" s="194">
        <v>5</v>
      </c>
      <c r="B147" s="3">
        <v>190154</v>
      </c>
      <c r="C147" s="3" t="s">
        <v>507</v>
      </c>
      <c r="D147" s="3">
        <v>2072</v>
      </c>
      <c r="E147" s="3">
        <v>44166</v>
      </c>
      <c r="F147" s="3">
        <v>10360</v>
      </c>
      <c r="G147" s="195">
        <v>4558.4000000000005</v>
      </c>
    </row>
    <row r="148" spans="1:7">
      <c r="A148" s="194">
        <v>3</v>
      </c>
      <c r="B148" s="3">
        <v>444725</v>
      </c>
      <c r="C148" s="3" t="s">
        <v>507</v>
      </c>
      <c r="D148" s="3">
        <v>2071</v>
      </c>
      <c r="E148" s="3">
        <v>44075</v>
      </c>
      <c r="F148" s="3">
        <v>10355</v>
      </c>
      <c r="G148" s="195">
        <v>4556.2000000000007</v>
      </c>
    </row>
    <row r="149" spans="1:7">
      <c r="A149" s="194">
        <v>1</v>
      </c>
      <c r="B149" s="3">
        <v>732442</v>
      </c>
      <c r="C149" s="3" t="s">
        <v>508</v>
      </c>
      <c r="D149" s="3">
        <v>2580</v>
      </c>
      <c r="E149" s="3">
        <v>43922</v>
      </c>
      <c r="F149" s="3">
        <v>10320</v>
      </c>
      <c r="G149" s="195">
        <v>3870</v>
      </c>
    </row>
    <row r="150" spans="1:7">
      <c r="A150" s="194">
        <v>4</v>
      </c>
      <c r="B150" s="3">
        <v>455417</v>
      </c>
      <c r="C150" s="3" t="s">
        <v>508</v>
      </c>
      <c r="D150" s="3">
        <v>2579</v>
      </c>
      <c r="E150" s="3">
        <v>43922</v>
      </c>
      <c r="F150" s="3">
        <v>10316</v>
      </c>
      <c r="G150" s="195">
        <v>3868.5</v>
      </c>
    </row>
    <row r="151" spans="1:7">
      <c r="A151" s="194">
        <v>5</v>
      </c>
      <c r="B151" s="3">
        <v>759173</v>
      </c>
      <c r="C151" s="3" t="s">
        <v>508</v>
      </c>
      <c r="D151" s="3">
        <v>2567</v>
      </c>
      <c r="E151" s="3">
        <v>43983</v>
      </c>
      <c r="F151" s="3">
        <v>10268</v>
      </c>
      <c r="G151" s="195">
        <v>3850.5</v>
      </c>
    </row>
    <row r="152" spans="1:7">
      <c r="A152" s="194">
        <v>4</v>
      </c>
      <c r="B152" s="3">
        <v>120233</v>
      </c>
      <c r="C152" s="3" t="s">
        <v>507</v>
      </c>
      <c r="D152" s="3">
        <v>2039</v>
      </c>
      <c r="E152" s="3">
        <v>43952</v>
      </c>
      <c r="F152" s="3">
        <v>10195</v>
      </c>
      <c r="G152" s="195">
        <v>4485.8</v>
      </c>
    </row>
    <row r="153" spans="1:7">
      <c r="A153" s="194">
        <v>4</v>
      </c>
      <c r="B153" s="3">
        <v>872825</v>
      </c>
      <c r="C153" s="3" t="s">
        <v>506</v>
      </c>
      <c r="D153" s="3">
        <v>2031</v>
      </c>
      <c r="E153" s="3">
        <v>44105</v>
      </c>
      <c r="F153" s="3">
        <v>10155</v>
      </c>
      <c r="G153" s="195">
        <v>4062</v>
      </c>
    </row>
    <row r="154" spans="1:7">
      <c r="A154" s="194">
        <v>5</v>
      </c>
      <c r="B154" s="3">
        <v>406431</v>
      </c>
      <c r="C154" s="3" t="s">
        <v>508</v>
      </c>
      <c r="D154" s="3">
        <v>2529</v>
      </c>
      <c r="E154" s="3">
        <v>44013</v>
      </c>
      <c r="F154" s="3">
        <v>10116</v>
      </c>
      <c r="G154" s="195">
        <v>3793.5</v>
      </c>
    </row>
    <row r="155" spans="1:7">
      <c r="A155" s="194">
        <v>3</v>
      </c>
      <c r="B155" s="3">
        <v>728960</v>
      </c>
      <c r="C155" s="3" t="s">
        <v>508</v>
      </c>
      <c r="D155" s="3">
        <v>2521.5</v>
      </c>
      <c r="E155" s="3">
        <v>43831</v>
      </c>
      <c r="F155" s="3">
        <v>10086</v>
      </c>
      <c r="G155" s="195">
        <v>3782.25</v>
      </c>
    </row>
    <row r="156" spans="1:7">
      <c r="A156" s="194">
        <v>1</v>
      </c>
      <c r="B156" s="3">
        <v>208984</v>
      </c>
      <c r="C156" s="3" t="s">
        <v>507</v>
      </c>
      <c r="D156" s="3">
        <v>2015</v>
      </c>
      <c r="E156" s="3">
        <v>43800</v>
      </c>
      <c r="F156" s="3">
        <v>10075</v>
      </c>
      <c r="G156" s="195">
        <v>4433</v>
      </c>
    </row>
    <row r="157" spans="1:7">
      <c r="A157" s="194">
        <v>1</v>
      </c>
      <c r="B157" s="3">
        <v>780708</v>
      </c>
      <c r="C157" s="3" t="s">
        <v>506</v>
      </c>
      <c r="D157" s="3">
        <v>2013</v>
      </c>
      <c r="E157" s="3">
        <v>43800</v>
      </c>
      <c r="F157" s="3">
        <v>10065</v>
      </c>
      <c r="G157" s="195">
        <v>4026</v>
      </c>
    </row>
    <row r="158" spans="1:7">
      <c r="A158" s="194">
        <v>2</v>
      </c>
      <c r="B158" s="3">
        <v>164895</v>
      </c>
      <c r="C158" s="3" t="s">
        <v>506</v>
      </c>
      <c r="D158" s="3">
        <v>2009</v>
      </c>
      <c r="E158" s="3">
        <v>44105</v>
      </c>
      <c r="F158" s="3">
        <v>10045</v>
      </c>
      <c r="G158" s="195">
        <v>4018</v>
      </c>
    </row>
    <row r="159" spans="1:7">
      <c r="A159" s="194">
        <v>5</v>
      </c>
      <c r="B159" s="3">
        <v>117162</v>
      </c>
      <c r="C159" s="3" t="s">
        <v>506</v>
      </c>
      <c r="D159" s="3">
        <v>2007</v>
      </c>
      <c r="E159" s="3">
        <v>43770</v>
      </c>
      <c r="F159" s="3">
        <v>10035</v>
      </c>
      <c r="G159" s="195">
        <v>4014</v>
      </c>
    </row>
    <row r="160" spans="1:7">
      <c r="A160" s="194">
        <v>1</v>
      </c>
      <c r="B160" s="3">
        <v>614031</v>
      </c>
      <c r="C160" s="3" t="s">
        <v>505</v>
      </c>
      <c r="D160" s="3">
        <v>1659</v>
      </c>
      <c r="E160" s="3">
        <v>44013</v>
      </c>
      <c r="F160" s="3">
        <v>9954</v>
      </c>
      <c r="G160" s="195">
        <v>4562.25</v>
      </c>
    </row>
    <row r="161" spans="1:7">
      <c r="A161" s="194">
        <v>2</v>
      </c>
      <c r="B161" s="3">
        <v>348955</v>
      </c>
      <c r="C161" s="3" t="s">
        <v>508</v>
      </c>
      <c r="D161" s="3">
        <v>2487</v>
      </c>
      <c r="E161" s="3">
        <v>44166</v>
      </c>
      <c r="F161" s="3">
        <v>9948</v>
      </c>
      <c r="G161" s="195">
        <v>3730.5</v>
      </c>
    </row>
    <row r="162" spans="1:7">
      <c r="A162" s="194">
        <v>4</v>
      </c>
      <c r="B162" s="3">
        <v>304546</v>
      </c>
      <c r="C162" s="3" t="s">
        <v>507</v>
      </c>
      <c r="D162" s="3">
        <v>1989</v>
      </c>
      <c r="E162" s="3">
        <v>43709</v>
      </c>
      <c r="F162" s="3">
        <v>9945</v>
      </c>
      <c r="G162" s="195">
        <v>4375.8</v>
      </c>
    </row>
    <row r="163" spans="1:7">
      <c r="A163" s="194">
        <v>4</v>
      </c>
      <c r="B163" s="3">
        <v>131249</v>
      </c>
      <c r="C163" s="3" t="s">
        <v>507</v>
      </c>
      <c r="D163" s="3">
        <v>1987.5</v>
      </c>
      <c r="E163" s="3">
        <v>43831</v>
      </c>
      <c r="F163" s="3">
        <v>9937.5</v>
      </c>
      <c r="G163" s="195">
        <v>4372.5</v>
      </c>
    </row>
    <row r="164" spans="1:7">
      <c r="A164" s="194">
        <v>3</v>
      </c>
      <c r="B164" s="3">
        <v>159484</v>
      </c>
      <c r="C164" s="3" t="s">
        <v>506</v>
      </c>
      <c r="D164" s="3">
        <v>1984</v>
      </c>
      <c r="E164" s="3">
        <v>44044</v>
      </c>
      <c r="F164" s="3">
        <v>9920</v>
      </c>
      <c r="G164" s="195">
        <v>3968</v>
      </c>
    </row>
    <row r="165" spans="1:7">
      <c r="A165" s="194">
        <v>1</v>
      </c>
      <c r="B165" s="3">
        <v>293680</v>
      </c>
      <c r="C165" s="3" t="s">
        <v>508</v>
      </c>
      <c r="D165" s="3">
        <v>2470</v>
      </c>
      <c r="E165" s="3">
        <v>43983</v>
      </c>
      <c r="F165" s="3">
        <v>9880</v>
      </c>
      <c r="G165" s="195">
        <v>3705</v>
      </c>
    </row>
    <row r="166" spans="1:7">
      <c r="A166" s="194">
        <v>5</v>
      </c>
      <c r="B166" s="3">
        <v>761356</v>
      </c>
      <c r="C166" s="3" t="s">
        <v>506</v>
      </c>
      <c r="D166" s="3">
        <v>1954</v>
      </c>
      <c r="E166" s="3">
        <v>43891</v>
      </c>
      <c r="F166" s="3">
        <v>9770</v>
      </c>
      <c r="G166" s="195">
        <v>3908</v>
      </c>
    </row>
    <row r="167" spans="1:7">
      <c r="A167" s="194">
        <v>3</v>
      </c>
      <c r="B167" s="3">
        <v>731074</v>
      </c>
      <c r="C167" s="3" t="s">
        <v>507</v>
      </c>
      <c r="D167" s="3">
        <v>1953</v>
      </c>
      <c r="E167" s="3">
        <v>43922</v>
      </c>
      <c r="F167" s="3">
        <v>9765</v>
      </c>
      <c r="G167" s="195">
        <v>4296.6000000000004</v>
      </c>
    </row>
    <row r="168" spans="1:7">
      <c r="A168" s="194">
        <v>5</v>
      </c>
      <c r="B168" s="3">
        <v>363487</v>
      </c>
      <c r="C168" s="3" t="s">
        <v>508</v>
      </c>
      <c r="D168" s="3">
        <v>2441</v>
      </c>
      <c r="E168" s="3">
        <v>44105</v>
      </c>
      <c r="F168" s="3">
        <v>9764</v>
      </c>
      <c r="G168" s="195">
        <v>3661.5</v>
      </c>
    </row>
    <row r="169" spans="1:7">
      <c r="A169" s="194">
        <v>5</v>
      </c>
      <c r="B169" s="3">
        <v>617395</v>
      </c>
      <c r="C169" s="3" t="s">
        <v>509</v>
      </c>
      <c r="D169" s="3">
        <v>3244.5</v>
      </c>
      <c r="E169" s="3">
        <v>43831</v>
      </c>
      <c r="F169" s="3">
        <v>9733.5</v>
      </c>
      <c r="G169" s="195">
        <v>4055.625</v>
      </c>
    </row>
    <row r="170" spans="1:7">
      <c r="A170" s="194">
        <v>3</v>
      </c>
      <c r="B170" s="3">
        <v>887888</v>
      </c>
      <c r="C170" s="3" t="s">
        <v>506</v>
      </c>
      <c r="D170" s="3">
        <v>1946</v>
      </c>
      <c r="E170" s="3">
        <v>43800</v>
      </c>
      <c r="F170" s="3">
        <v>9730</v>
      </c>
      <c r="G170" s="195">
        <v>3892</v>
      </c>
    </row>
    <row r="171" spans="1:7">
      <c r="A171" s="194">
        <v>1</v>
      </c>
      <c r="B171" s="3">
        <v>675075</v>
      </c>
      <c r="C171" s="3" t="s">
        <v>506</v>
      </c>
      <c r="D171" s="3">
        <v>1945</v>
      </c>
      <c r="E171" s="3">
        <v>43739</v>
      </c>
      <c r="F171" s="3">
        <v>9725</v>
      </c>
      <c r="G171" s="195">
        <v>3890</v>
      </c>
    </row>
    <row r="172" spans="1:7">
      <c r="A172" s="194">
        <v>3</v>
      </c>
      <c r="B172" s="3">
        <v>100553</v>
      </c>
      <c r="C172" s="3" t="s">
        <v>506</v>
      </c>
      <c r="D172" s="3">
        <v>1934</v>
      </c>
      <c r="E172" s="3">
        <v>44075</v>
      </c>
      <c r="F172" s="3">
        <v>9670</v>
      </c>
      <c r="G172" s="195">
        <v>3868</v>
      </c>
    </row>
    <row r="173" spans="1:7">
      <c r="A173" s="194">
        <v>3</v>
      </c>
      <c r="B173" s="3">
        <v>105566</v>
      </c>
      <c r="C173" s="3" t="s">
        <v>508</v>
      </c>
      <c r="D173" s="3">
        <v>2416</v>
      </c>
      <c r="E173" s="3">
        <v>43709</v>
      </c>
      <c r="F173" s="3">
        <v>9664</v>
      </c>
      <c r="G173" s="195">
        <v>3624</v>
      </c>
    </row>
    <row r="174" spans="1:7">
      <c r="A174" s="194">
        <v>5</v>
      </c>
      <c r="B174" s="3">
        <v>793514</v>
      </c>
      <c r="C174" s="3" t="s">
        <v>506</v>
      </c>
      <c r="D174" s="3">
        <v>1925</v>
      </c>
      <c r="E174" s="3">
        <v>43800</v>
      </c>
      <c r="F174" s="3">
        <v>9625</v>
      </c>
      <c r="G174" s="195">
        <v>3850</v>
      </c>
    </row>
    <row r="175" spans="1:7">
      <c r="A175" s="194">
        <v>5</v>
      </c>
      <c r="B175" s="3">
        <v>364025</v>
      </c>
      <c r="C175" s="3" t="s">
        <v>506</v>
      </c>
      <c r="D175" s="3">
        <v>1922</v>
      </c>
      <c r="E175" s="3">
        <v>43770</v>
      </c>
      <c r="F175" s="3">
        <v>9610</v>
      </c>
      <c r="G175" s="195">
        <v>3844</v>
      </c>
    </row>
    <row r="176" spans="1:7">
      <c r="A176" s="194">
        <v>3</v>
      </c>
      <c r="B176" s="3">
        <v>580583</v>
      </c>
      <c r="C176" s="3" t="s">
        <v>507</v>
      </c>
      <c r="D176" s="3">
        <v>1916</v>
      </c>
      <c r="E176" s="3">
        <v>44166</v>
      </c>
      <c r="F176" s="3">
        <v>9580</v>
      </c>
      <c r="G176" s="195">
        <v>4215.2000000000007</v>
      </c>
    </row>
    <row r="177" spans="1:7">
      <c r="A177" s="194">
        <v>5</v>
      </c>
      <c r="B177" s="3">
        <v>778039</v>
      </c>
      <c r="C177" s="3" t="s">
        <v>506</v>
      </c>
      <c r="D177" s="3">
        <v>1916</v>
      </c>
      <c r="E177" s="3">
        <v>44166</v>
      </c>
      <c r="F177" s="3">
        <v>9580</v>
      </c>
      <c r="G177" s="195">
        <v>3832</v>
      </c>
    </row>
    <row r="178" spans="1:7">
      <c r="A178" s="194">
        <v>3</v>
      </c>
      <c r="B178" s="3">
        <v>748204</v>
      </c>
      <c r="C178" s="3" t="s">
        <v>505</v>
      </c>
      <c r="D178" s="3">
        <v>1596</v>
      </c>
      <c r="E178" s="3">
        <v>44075</v>
      </c>
      <c r="F178" s="3">
        <v>9576</v>
      </c>
      <c r="G178" s="195">
        <v>4389</v>
      </c>
    </row>
    <row r="179" spans="1:7">
      <c r="A179" s="194">
        <v>3</v>
      </c>
      <c r="B179" s="3">
        <v>788478</v>
      </c>
      <c r="C179" s="3" t="s">
        <v>507</v>
      </c>
      <c r="D179" s="3">
        <v>1907</v>
      </c>
      <c r="E179" s="3">
        <v>44075</v>
      </c>
      <c r="F179" s="3">
        <v>9535</v>
      </c>
      <c r="G179" s="195">
        <v>4195.4000000000005</v>
      </c>
    </row>
    <row r="180" spans="1:7">
      <c r="A180" s="194">
        <v>1</v>
      </c>
      <c r="B180" s="3">
        <v>296424</v>
      </c>
      <c r="C180" s="3" t="s">
        <v>506</v>
      </c>
      <c r="D180" s="3">
        <v>1901</v>
      </c>
      <c r="E180" s="3">
        <v>43983</v>
      </c>
      <c r="F180" s="3">
        <v>9505</v>
      </c>
      <c r="G180" s="195">
        <v>3802</v>
      </c>
    </row>
    <row r="181" spans="1:7">
      <c r="A181" s="194">
        <v>3</v>
      </c>
      <c r="B181" s="3">
        <v>609228</v>
      </c>
      <c r="C181" s="3" t="s">
        <v>507</v>
      </c>
      <c r="D181" s="3">
        <v>1899</v>
      </c>
      <c r="E181" s="3">
        <v>43983</v>
      </c>
      <c r="F181" s="3">
        <v>9495</v>
      </c>
      <c r="G181" s="195">
        <v>4177.8</v>
      </c>
    </row>
    <row r="182" spans="1:7">
      <c r="A182" s="194">
        <v>2</v>
      </c>
      <c r="B182" s="3">
        <v>818350</v>
      </c>
      <c r="C182" s="3" t="s">
        <v>505</v>
      </c>
      <c r="D182" s="3">
        <v>1582</v>
      </c>
      <c r="E182" s="3">
        <v>44166</v>
      </c>
      <c r="F182" s="3">
        <v>9492</v>
      </c>
      <c r="G182" s="195">
        <v>4350.5</v>
      </c>
    </row>
    <row r="183" spans="1:7">
      <c r="A183" s="194">
        <v>3</v>
      </c>
      <c r="B183" s="3">
        <v>355971</v>
      </c>
      <c r="C183" s="3" t="s">
        <v>505</v>
      </c>
      <c r="D183" s="3">
        <v>1579</v>
      </c>
      <c r="E183" s="3">
        <v>44044</v>
      </c>
      <c r="F183" s="3">
        <v>9474</v>
      </c>
      <c r="G183" s="195">
        <v>4342.25</v>
      </c>
    </row>
    <row r="184" spans="1:7">
      <c r="A184" s="194">
        <v>1</v>
      </c>
      <c r="B184" s="3">
        <v>674043</v>
      </c>
      <c r="C184" s="3" t="s">
        <v>505</v>
      </c>
      <c r="D184" s="3">
        <v>1575</v>
      </c>
      <c r="E184" s="3">
        <v>43862</v>
      </c>
      <c r="F184" s="3">
        <v>9450</v>
      </c>
      <c r="G184" s="195">
        <v>4331.25</v>
      </c>
    </row>
    <row r="185" spans="1:7">
      <c r="A185" s="194">
        <v>2</v>
      </c>
      <c r="B185" s="3">
        <v>149035</v>
      </c>
      <c r="C185" s="3" t="s">
        <v>505</v>
      </c>
      <c r="D185" s="3">
        <v>1566</v>
      </c>
      <c r="E185" s="3">
        <v>44105</v>
      </c>
      <c r="F185" s="3">
        <v>9396</v>
      </c>
      <c r="G185" s="195">
        <v>4306.5</v>
      </c>
    </row>
    <row r="186" spans="1:7">
      <c r="A186" s="194">
        <v>2</v>
      </c>
      <c r="B186" s="3">
        <v>227896</v>
      </c>
      <c r="C186" s="3" t="s">
        <v>507</v>
      </c>
      <c r="D186" s="3">
        <v>1870</v>
      </c>
      <c r="E186" s="3">
        <v>43770</v>
      </c>
      <c r="F186" s="3">
        <v>9350</v>
      </c>
      <c r="G186" s="195">
        <v>4114</v>
      </c>
    </row>
    <row r="187" spans="1:7">
      <c r="A187" s="194">
        <v>4</v>
      </c>
      <c r="B187" s="3">
        <v>283163</v>
      </c>
      <c r="C187" s="3" t="s">
        <v>507</v>
      </c>
      <c r="D187" s="3">
        <v>1865</v>
      </c>
      <c r="E187" s="3">
        <v>43862</v>
      </c>
      <c r="F187" s="3">
        <v>9325</v>
      </c>
      <c r="G187" s="195">
        <v>4103</v>
      </c>
    </row>
    <row r="188" spans="1:7">
      <c r="A188" s="194">
        <v>1</v>
      </c>
      <c r="B188" s="3">
        <v>643742</v>
      </c>
      <c r="C188" s="3" t="s">
        <v>505</v>
      </c>
      <c r="D188" s="3">
        <v>1545</v>
      </c>
      <c r="E188" s="3">
        <v>43983</v>
      </c>
      <c r="F188" s="3">
        <v>9270</v>
      </c>
      <c r="G188" s="195">
        <v>4248.75</v>
      </c>
    </row>
    <row r="189" spans="1:7">
      <c r="A189" s="194">
        <v>4</v>
      </c>
      <c r="B189" s="3">
        <v>632637</v>
      </c>
      <c r="C189" s="3" t="s">
        <v>508</v>
      </c>
      <c r="D189" s="3">
        <v>2300</v>
      </c>
      <c r="E189" s="3">
        <v>44166</v>
      </c>
      <c r="F189" s="3">
        <v>9200</v>
      </c>
      <c r="G189" s="195">
        <v>3450</v>
      </c>
    </row>
    <row r="190" spans="1:7">
      <c r="A190" s="194">
        <v>4</v>
      </c>
      <c r="B190" s="3">
        <v>288662</v>
      </c>
      <c r="C190" s="3" t="s">
        <v>508</v>
      </c>
      <c r="D190" s="3">
        <v>2299</v>
      </c>
      <c r="E190" s="3">
        <v>43739</v>
      </c>
      <c r="F190" s="3">
        <v>9196</v>
      </c>
      <c r="G190" s="195">
        <v>3448.5</v>
      </c>
    </row>
    <row r="191" spans="1:7">
      <c r="A191" s="194">
        <v>5</v>
      </c>
      <c r="B191" s="3">
        <v>374150</v>
      </c>
      <c r="C191" s="3" t="s">
        <v>505</v>
      </c>
      <c r="D191" s="3">
        <v>1530</v>
      </c>
      <c r="E191" s="3">
        <v>43952</v>
      </c>
      <c r="F191" s="3">
        <v>9180</v>
      </c>
      <c r="G191" s="195">
        <v>4207.5</v>
      </c>
    </row>
    <row r="192" spans="1:7">
      <c r="A192" s="194">
        <v>4</v>
      </c>
      <c r="B192" s="3">
        <v>534742</v>
      </c>
      <c r="C192" s="3" t="s">
        <v>506</v>
      </c>
      <c r="D192" s="3">
        <v>1823</v>
      </c>
      <c r="E192" s="3">
        <v>44013</v>
      </c>
      <c r="F192" s="3">
        <v>9115</v>
      </c>
      <c r="G192" s="195">
        <v>3646</v>
      </c>
    </row>
    <row r="193" spans="1:7">
      <c r="A193" s="194">
        <v>4</v>
      </c>
      <c r="B193" s="3">
        <v>481875</v>
      </c>
      <c r="C193" s="3" t="s">
        <v>506</v>
      </c>
      <c r="D193" s="3">
        <v>1817</v>
      </c>
      <c r="E193" s="3">
        <v>44166</v>
      </c>
      <c r="F193" s="3">
        <v>9085</v>
      </c>
      <c r="G193" s="195">
        <v>3634</v>
      </c>
    </row>
    <row r="194" spans="1:7">
      <c r="A194" s="194">
        <v>4</v>
      </c>
      <c r="B194" s="3">
        <v>348194</v>
      </c>
      <c r="C194" s="3" t="s">
        <v>506</v>
      </c>
      <c r="D194" s="3">
        <v>1802</v>
      </c>
      <c r="E194" s="3">
        <v>43800</v>
      </c>
      <c r="F194" s="3">
        <v>9010</v>
      </c>
      <c r="G194" s="195">
        <v>3604</v>
      </c>
    </row>
    <row r="195" spans="1:7">
      <c r="A195" s="194">
        <v>3</v>
      </c>
      <c r="B195" s="3">
        <v>625104</v>
      </c>
      <c r="C195" s="3" t="s">
        <v>505</v>
      </c>
      <c r="D195" s="3">
        <v>1498</v>
      </c>
      <c r="E195" s="3">
        <v>43983</v>
      </c>
      <c r="F195" s="3">
        <v>8988</v>
      </c>
      <c r="G195" s="195">
        <v>4119.5</v>
      </c>
    </row>
    <row r="196" spans="1:7">
      <c r="A196" s="194">
        <v>2</v>
      </c>
      <c r="B196" s="3">
        <v>250308</v>
      </c>
      <c r="C196" s="3" t="s">
        <v>505</v>
      </c>
      <c r="D196" s="3">
        <v>1496</v>
      </c>
      <c r="E196" s="3">
        <v>43983</v>
      </c>
      <c r="F196" s="3">
        <v>8976</v>
      </c>
      <c r="G196" s="195">
        <v>4114</v>
      </c>
    </row>
    <row r="197" spans="1:7">
      <c r="A197" s="194">
        <v>2</v>
      </c>
      <c r="B197" s="3">
        <v>616386</v>
      </c>
      <c r="C197" s="3" t="s">
        <v>505</v>
      </c>
      <c r="D197" s="3">
        <v>1493</v>
      </c>
      <c r="E197" s="3">
        <v>43831</v>
      </c>
      <c r="F197" s="3">
        <v>8958</v>
      </c>
      <c r="G197" s="195">
        <v>4105.75</v>
      </c>
    </row>
    <row r="198" spans="1:7">
      <c r="A198" s="194">
        <v>1</v>
      </c>
      <c r="B198" s="3">
        <v>303687</v>
      </c>
      <c r="C198" s="3" t="s">
        <v>506</v>
      </c>
      <c r="D198" s="3">
        <v>1785</v>
      </c>
      <c r="E198" s="3">
        <v>43770</v>
      </c>
      <c r="F198" s="3">
        <v>8925</v>
      </c>
      <c r="G198" s="195">
        <v>3570</v>
      </c>
    </row>
    <row r="199" spans="1:7">
      <c r="A199" s="194">
        <v>2</v>
      </c>
      <c r="B199" s="3">
        <v>733366</v>
      </c>
      <c r="C199" s="3" t="s">
        <v>507</v>
      </c>
      <c r="D199" s="3">
        <v>1778</v>
      </c>
      <c r="E199" s="3">
        <v>43800</v>
      </c>
      <c r="F199" s="3">
        <v>8890</v>
      </c>
      <c r="G199" s="195">
        <v>3911.6000000000004</v>
      </c>
    </row>
    <row r="200" spans="1:7">
      <c r="A200" s="194">
        <v>3</v>
      </c>
      <c r="B200" s="3">
        <v>839631</v>
      </c>
      <c r="C200" s="3" t="s">
        <v>506</v>
      </c>
      <c r="D200" s="3">
        <v>1775</v>
      </c>
      <c r="E200" s="3">
        <v>43770</v>
      </c>
      <c r="F200" s="3">
        <v>8875</v>
      </c>
      <c r="G200" s="195">
        <v>3550</v>
      </c>
    </row>
    <row r="201" spans="1:7">
      <c r="A201" s="194">
        <v>1</v>
      </c>
      <c r="B201" s="3">
        <v>779279</v>
      </c>
      <c r="C201" s="3" t="s">
        <v>506</v>
      </c>
      <c r="D201" s="3">
        <v>1774</v>
      </c>
      <c r="E201" s="3">
        <v>43891</v>
      </c>
      <c r="F201" s="3">
        <v>8870</v>
      </c>
      <c r="G201" s="195">
        <v>3548</v>
      </c>
    </row>
    <row r="202" spans="1:7">
      <c r="A202" s="194">
        <v>4</v>
      </c>
      <c r="B202" s="3">
        <v>780393</v>
      </c>
      <c r="C202" s="3" t="s">
        <v>509</v>
      </c>
      <c r="D202" s="3">
        <v>2954</v>
      </c>
      <c r="E202" s="3">
        <v>43770</v>
      </c>
      <c r="F202" s="3">
        <v>8862</v>
      </c>
      <c r="G202" s="195">
        <v>3692.5</v>
      </c>
    </row>
    <row r="203" spans="1:7">
      <c r="A203" s="194">
        <v>3</v>
      </c>
      <c r="B203" s="3">
        <v>786473</v>
      </c>
      <c r="C203" s="3" t="s">
        <v>507</v>
      </c>
      <c r="D203" s="3">
        <v>1770</v>
      </c>
      <c r="E203" s="3">
        <v>43800</v>
      </c>
      <c r="F203" s="3">
        <v>8850</v>
      </c>
      <c r="G203" s="195">
        <v>3894.0000000000005</v>
      </c>
    </row>
    <row r="204" spans="1:7">
      <c r="A204" s="194">
        <v>4</v>
      </c>
      <c r="B204" s="3">
        <v>544855</v>
      </c>
      <c r="C204" s="3" t="s">
        <v>506</v>
      </c>
      <c r="D204" s="3">
        <v>1767</v>
      </c>
      <c r="E204" s="3">
        <v>44075</v>
      </c>
      <c r="F204" s="3">
        <v>8835</v>
      </c>
      <c r="G204" s="195">
        <v>3534</v>
      </c>
    </row>
    <row r="205" spans="1:7">
      <c r="A205" s="194">
        <v>2</v>
      </c>
      <c r="B205" s="3">
        <v>856913</v>
      </c>
      <c r="C205" s="3" t="s">
        <v>509</v>
      </c>
      <c r="D205" s="3">
        <v>2935</v>
      </c>
      <c r="E205" s="3">
        <v>43770</v>
      </c>
      <c r="F205" s="3">
        <v>8805</v>
      </c>
      <c r="G205" s="195">
        <v>3668.75</v>
      </c>
    </row>
    <row r="206" spans="1:7">
      <c r="A206" s="194">
        <v>1</v>
      </c>
      <c r="B206" s="3">
        <v>141665</v>
      </c>
      <c r="C206" s="3" t="s">
        <v>506</v>
      </c>
      <c r="D206" s="3">
        <v>1760</v>
      </c>
      <c r="E206" s="3">
        <v>43709</v>
      </c>
      <c r="F206" s="3">
        <v>8800</v>
      </c>
      <c r="G206" s="195">
        <v>3520</v>
      </c>
    </row>
    <row r="207" spans="1:7">
      <c r="A207" s="194">
        <v>3</v>
      </c>
      <c r="B207" s="3">
        <v>464499</v>
      </c>
      <c r="C207" s="3" t="s">
        <v>505</v>
      </c>
      <c r="D207" s="3">
        <v>1465</v>
      </c>
      <c r="E207" s="3">
        <v>43891</v>
      </c>
      <c r="F207" s="3">
        <v>8790</v>
      </c>
      <c r="G207" s="195">
        <v>4028.75</v>
      </c>
    </row>
    <row r="208" spans="1:7">
      <c r="A208" s="194">
        <v>4</v>
      </c>
      <c r="B208" s="3">
        <v>676135</v>
      </c>
      <c r="C208" s="3" t="s">
        <v>506</v>
      </c>
      <c r="D208" s="3">
        <v>1757</v>
      </c>
      <c r="E208" s="3">
        <v>43739</v>
      </c>
      <c r="F208" s="3">
        <v>8785</v>
      </c>
      <c r="G208" s="195">
        <v>3514</v>
      </c>
    </row>
    <row r="209" spans="1:7">
      <c r="A209" s="194">
        <v>2</v>
      </c>
      <c r="B209" s="3">
        <v>310429</v>
      </c>
      <c r="C209" s="3" t="s">
        <v>508</v>
      </c>
      <c r="D209" s="3">
        <v>2181</v>
      </c>
      <c r="E209" s="3">
        <v>44105</v>
      </c>
      <c r="F209" s="3">
        <v>8724</v>
      </c>
      <c r="G209" s="195">
        <v>3271.5</v>
      </c>
    </row>
    <row r="210" spans="1:7">
      <c r="A210" s="194">
        <v>2</v>
      </c>
      <c r="B210" s="3">
        <v>520865</v>
      </c>
      <c r="C210" s="3" t="s">
        <v>506</v>
      </c>
      <c r="D210" s="3">
        <v>1743</v>
      </c>
      <c r="E210" s="3">
        <v>43739</v>
      </c>
      <c r="F210" s="3">
        <v>8715</v>
      </c>
      <c r="G210" s="195">
        <v>3486</v>
      </c>
    </row>
    <row r="211" spans="1:7">
      <c r="A211" s="194">
        <v>4</v>
      </c>
      <c r="B211" s="3">
        <v>796346</v>
      </c>
      <c r="C211" s="3" t="s">
        <v>506</v>
      </c>
      <c r="D211" s="3">
        <v>1743</v>
      </c>
      <c r="E211" s="3">
        <v>44044</v>
      </c>
      <c r="F211" s="3">
        <v>8715</v>
      </c>
      <c r="G211" s="195">
        <v>3486</v>
      </c>
    </row>
    <row r="212" spans="1:7">
      <c r="A212" s="194">
        <v>5</v>
      </c>
      <c r="B212" s="3">
        <v>594129</v>
      </c>
      <c r="C212" s="3" t="s">
        <v>507</v>
      </c>
      <c r="D212" s="3">
        <v>1743</v>
      </c>
      <c r="E212" s="3">
        <v>43739</v>
      </c>
      <c r="F212" s="3">
        <v>8715</v>
      </c>
      <c r="G212" s="195">
        <v>3834.6000000000004</v>
      </c>
    </row>
    <row r="213" spans="1:7">
      <c r="A213" s="194">
        <v>5</v>
      </c>
      <c r="B213" s="3">
        <v>649737</v>
      </c>
      <c r="C213" s="3" t="s">
        <v>508</v>
      </c>
      <c r="D213" s="3">
        <v>2178</v>
      </c>
      <c r="E213" s="3">
        <v>43983</v>
      </c>
      <c r="F213" s="3">
        <v>8712</v>
      </c>
      <c r="G213" s="195">
        <v>3267</v>
      </c>
    </row>
    <row r="214" spans="1:7">
      <c r="A214" s="194">
        <v>2</v>
      </c>
      <c r="B214" s="3">
        <v>800536</v>
      </c>
      <c r="C214" s="3" t="s">
        <v>509</v>
      </c>
      <c r="D214" s="3">
        <v>2903</v>
      </c>
      <c r="E214" s="3">
        <v>43891</v>
      </c>
      <c r="F214" s="3">
        <v>8709</v>
      </c>
      <c r="G214" s="195">
        <v>3628.75</v>
      </c>
    </row>
    <row r="215" spans="1:7">
      <c r="A215" s="194">
        <v>2</v>
      </c>
      <c r="B215" s="3">
        <v>429735</v>
      </c>
      <c r="C215" s="3" t="s">
        <v>506</v>
      </c>
      <c r="D215" s="3">
        <v>1731</v>
      </c>
      <c r="E215" s="3">
        <v>44105</v>
      </c>
      <c r="F215" s="3">
        <v>8655</v>
      </c>
      <c r="G215" s="195">
        <v>3462</v>
      </c>
    </row>
    <row r="216" spans="1:7">
      <c r="A216" s="194">
        <v>5</v>
      </c>
      <c r="B216" s="3">
        <v>707748</v>
      </c>
      <c r="C216" s="3" t="s">
        <v>507</v>
      </c>
      <c r="D216" s="3">
        <v>1731</v>
      </c>
      <c r="E216" s="3">
        <v>44105</v>
      </c>
      <c r="F216" s="3">
        <v>8655</v>
      </c>
      <c r="G216" s="195">
        <v>3808.2000000000003</v>
      </c>
    </row>
    <row r="217" spans="1:7">
      <c r="A217" s="194">
        <v>3</v>
      </c>
      <c r="B217" s="3">
        <v>365463</v>
      </c>
      <c r="C217" s="3" t="s">
        <v>506</v>
      </c>
      <c r="D217" s="3">
        <v>1728</v>
      </c>
      <c r="E217" s="3">
        <v>43952</v>
      </c>
      <c r="F217" s="3">
        <v>8640</v>
      </c>
      <c r="G217" s="195">
        <v>3456</v>
      </c>
    </row>
    <row r="218" spans="1:7">
      <c r="A218" s="194">
        <v>1</v>
      </c>
      <c r="B218" s="3">
        <v>225353</v>
      </c>
      <c r="C218" s="3" t="s">
        <v>507</v>
      </c>
      <c r="D218" s="3">
        <v>1727</v>
      </c>
      <c r="E218" s="3">
        <v>43739</v>
      </c>
      <c r="F218" s="3">
        <v>8635</v>
      </c>
      <c r="G218" s="195">
        <v>3799.4</v>
      </c>
    </row>
    <row r="219" spans="1:7">
      <c r="A219" s="194">
        <v>4</v>
      </c>
      <c r="B219" s="3">
        <v>439635</v>
      </c>
      <c r="C219" s="3" t="s">
        <v>509</v>
      </c>
      <c r="D219" s="3">
        <v>2877</v>
      </c>
      <c r="E219" s="3">
        <v>44105</v>
      </c>
      <c r="F219" s="3">
        <v>8631</v>
      </c>
      <c r="G219" s="195">
        <v>3596.25</v>
      </c>
    </row>
    <row r="220" spans="1:7">
      <c r="A220" s="194">
        <v>4</v>
      </c>
      <c r="B220" s="3">
        <v>289811</v>
      </c>
      <c r="C220" s="3" t="s">
        <v>506</v>
      </c>
      <c r="D220" s="3">
        <v>1725</v>
      </c>
      <c r="E220" s="3">
        <v>43770</v>
      </c>
      <c r="F220" s="3">
        <v>8625</v>
      </c>
      <c r="G220" s="195">
        <v>3450</v>
      </c>
    </row>
    <row r="221" spans="1:7">
      <c r="A221" s="194">
        <v>4</v>
      </c>
      <c r="B221" s="3">
        <v>694579</v>
      </c>
      <c r="C221" s="3" t="s">
        <v>508</v>
      </c>
      <c r="D221" s="3">
        <v>2156</v>
      </c>
      <c r="E221" s="3">
        <v>44105</v>
      </c>
      <c r="F221" s="3">
        <v>8624</v>
      </c>
      <c r="G221" s="195">
        <v>3234</v>
      </c>
    </row>
    <row r="222" spans="1:7">
      <c r="A222" s="194">
        <v>4</v>
      </c>
      <c r="B222" s="3">
        <v>338090</v>
      </c>
      <c r="C222" s="3" t="s">
        <v>508</v>
      </c>
      <c r="D222" s="3">
        <v>2155</v>
      </c>
      <c r="E222" s="3">
        <v>44166</v>
      </c>
      <c r="F222" s="3">
        <v>8620</v>
      </c>
      <c r="G222" s="195">
        <v>3232.5</v>
      </c>
    </row>
    <row r="223" spans="1:7">
      <c r="A223" s="194">
        <v>4</v>
      </c>
      <c r="B223" s="3">
        <v>403455</v>
      </c>
      <c r="C223" s="3" t="s">
        <v>508</v>
      </c>
      <c r="D223" s="3">
        <v>2145</v>
      </c>
      <c r="E223" s="3">
        <v>43770</v>
      </c>
      <c r="F223" s="3">
        <v>8580</v>
      </c>
      <c r="G223" s="195">
        <v>3217.5</v>
      </c>
    </row>
    <row r="224" spans="1:7">
      <c r="A224" s="194">
        <v>2</v>
      </c>
      <c r="B224" s="3">
        <v>885201</v>
      </c>
      <c r="C224" s="3" t="s">
        <v>506</v>
      </c>
      <c r="D224" s="3">
        <v>1715</v>
      </c>
      <c r="E224" s="3">
        <v>43739</v>
      </c>
      <c r="F224" s="3">
        <v>8575</v>
      </c>
      <c r="G224" s="195">
        <v>3430</v>
      </c>
    </row>
    <row r="225" spans="1:7">
      <c r="A225" s="194">
        <v>1</v>
      </c>
      <c r="B225" s="3">
        <v>632111</v>
      </c>
      <c r="C225" s="3" t="s">
        <v>509</v>
      </c>
      <c r="D225" s="3">
        <v>2844</v>
      </c>
      <c r="E225" s="3">
        <v>43862</v>
      </c>
      <c r="F225" s="3">
        <v>8532</v>
      </c>
      <c r="G225" s="195">
        <v>3555</v>
      </c>
    </row>
    <row r="226" spans="1:7">
      <c r="A226" s="194">
        <v>2</v>
      </c>
      <c r="B226" s="3">
        <v>701669</v>
      </c>
      <c r="C226" s="3" t="s">
        <v>509</v>
      </c>
      <c r="D226" s="3">
        <v>2844</v>
      </c>
      <c r="E226" s="3">
        <v>43983</v>
      </c>
      <c r="F226" s="3">
        <v>8532</v>
      </c>
      <c r="G226" s="195">
        <v>3555</v>
      </c>
    </row>
    <row r="227" spans="1:7">
      <c r="A227" s="194">
        <v>2</v>
      </c>
      <c r="B227" s="3">
        <v>566401</v>
      </c>
      <c r="C227" s="3" t="s">
        <v>506</v>
      </c>
      <c r="D227" s="3">
        <v>1706</v>
      </c>
      <c r="E227" s="3">
        <v>44166</v>
      </c>
      <c r="F227" s="3">
        <v>8530</v>
      </c>
      <c r="G227" s="195">
        <v>3412</v>
      </c>
    </row>
    <row r="228" spans="1:7">
      <c r="A228" s="194">
        <v>2</v>
      </c>
      <c r="B228" s="3">
        <v>562718</v>
      </c>
      <c r="C228" s="3" t="s">
        <v>505</v>
      </c>
      <c r="D228" s="3">
        <v>1421</v>
      </c>
      <c r="E228" s="3">
        <v>43800</v>
      </c>
      <c r="F228" s="3">
        <v>8526</v>
      </c>
      <c r="G228" s="195">
        <v>3907.75</v>
      </c>
    </row>
    <row r="229" spans="1:7">
      <c r="A229" s="194">
        <v>3</v>
      </c>
      <c r="B229" s="3">
        <v>355287</v>
      </c>
      <c r="C229" s="3" t="s">
        <v>509</v>
      </c>
      <c r="D229" s="3">
        <v>2838</v>
      </c>
      <c r="E229" s="3">
        <v>43922</v>
      </c>
      <c r="F229" s="3">
        <v>8514</v>
      </c>
      <c r="G229" s="195">
        <v>3547.5</v>
      </c>
    </row>
    <row r="230" spans="1:7">
      <c r="A230" s="194">
        <v>1</v>
      </c>
      <c r="B230" s="3">
        <v>283491</v>
      </c>
      <c r="C230" s="3" t="s">
        <v>506</v>
      </c>
      <c r="D230" s="3">
        <v>1702</v>
      </c>
      <c r="E230" s="3">
        <v>43952</v>
      </c>
      <c r="F230" s="3">
        <v>8510</v>
      </c>
      <c r="G230" s="195">
        <v>3404</v>
      </c>
    </row>
    <row r="231" spans="1:7">
      <c r="A231" s="194">
        <v>3</v>
      </c>
      <c r="B231" s="3">
        <v>686661</v>
      </c>
      <c r="C231" s="3" t="s">
        <v>507</v>
      </c>
      <c r="D231" s="3">
        <v>1694</v>
      </c>
      <c r="E231" s="3">
        <v>44136</v>
      </c>
      <c r="F231" s="3">
        <v>8470</v>
      </c>
      <c r="G231" s="195">
        <v>3726.8</v>
      </c>
    </row>
    <row r="232" spans="1:7">
      <c r="A232" s="194">
        <v>3</v>
      </c>
      <c r="B232" s="3">
        <v>754791</v>
      </c>
      <c r="C232" s="3" t="s">
        <v>507</v>
      </c>
      <c r="D232" s="3">
        <v>1686</v>
      </c>
      <c r="E232" s="3">
        <v>44013</v>
      </c>
      <c r="F232" s="3">
        <v>8430</v>
      </c>
      <c r="G232" s="195">
        <v>3709.2000000000003</v>
      </c>
    </row>
    <row r="233" spans="1:7">
      <c r="A233" s="194">
        <v>2</v>
      </c>
      <c r="B233" s="3">
        <v>363822</v>
      </c>
      <c r="C233" s="3" t="s">
        <v>509</v>
      </c>
      <c r="D233" s="3">
        <v>2807</v>
      </c>
      <c r="E233" s="3">
        <v>44044</v>
      </c>
      <c r="F233" s="3">
        <v>8421</v>
      </c>
      <c r="G233" s="195">
        <v>3508.75</v>
      </c>
    </row>
    <row r="234" spans="1:7">
      <c r="A234" s="194">
        <v>3</v>
      </c>
      <c r="B234" s="3">
        <v>602865</v>
      </c>
      <c r="C234" s="3" t="s">
        <v>507</v>
      </c>
      <c r="D234" s="3">
        <v>1683</v>
      </c>
      <c r="E234" s="3">
        <v>44013</v>
      </c>
      <c r="F234" s="3">
        <v>8415</v>
      </c>
      <c r="G234" s="195">
        <v>3702.6000000000004</v>
      </c>
    </row>
    <row r="235" spans="1:7">
      <c r="A235" s="194">
        <v>3</v>
      </c>
      <c r="B235" s="3">
        <v>551372</v>
      </c>
      <c r="C235" s="3" t="s">
        <v>507</v>
      </c>
      <c r="D235" s="3">
        <v>1679</v>
      </c>
      <c r="E235" s="3">
        <v>44075</v>
      </c>
      <c r="F235" s="3">
        <v>8395</v>
      </c>
      <c r="G235" s="195">
        <v>3693.8</v>
      </c>
    </row>
    <row r="236" spans="1:7">
      <c r="A236" s="194">
        <v>2</v>
      </c>
      <c r="B236" s="3">
        <v>638098</v>
      </c>
      <c r="C236" s="3" t="s">
        <v>505</v>
      </c>
      <c r="D236" s="3">
        <v>1395</v>
      </c>
      <c r="E236" s="3">
        <v>44013</v>
      </c>
      <c r="F236" s="3">
        <v>8370</v>
      </c>
      <c r="G236" s="195">
        <v>3836.25</v>
      </c>
    </row>
    <row r="237" spans="1:7">
      <c r="A237" s="194">
        <v>1</v>
      </c>
      <c r="B237" s="3">
        <v>665489</v>
      </c>
      <c r="C237" s="3" t="s">
        <v>507</v>
      </c>
      <c r="D237" s="3">
        <v>1659</v>
      </c>
      <c r="E237" s="3">
        <v>43831</v>
      </c>
      <c r="F237" s="3">
        <v>8295</v>
      </c>
      <c r="G237" s="195">
        <v>3649.8</v>
      </c>
    </row>
    <row r="238" spans="1:7">
      <c r="A238" s="194">
        <v>5</v>
      </c>
      <c r="B238" s="3">
        <v>210209</v>
      </c>
      <c r="C238" s="3" t="s">
        <v>509</v>
      </c>
      <c r="D238" s="3">
        <v>2747</v>
      </c>
      <c r="E238" s="3">
        <v>43862</v>
      </c>
      <c r="F238" s="3">
        <v>8241</v>
      </c>
      <c r="G238" s="195">
        <v>3433.75</v>
      </c>
    </row>
    <row r="239" spans="1:7">
      <c r="A239" s="194">
        <v>4</v>
      </c>
      <c r="B239" s="3">
        <v>640346</v>
      </c>
      <c r="C239" s="3" t="s">
        <v>505</v>
      </c>
      <c r="D239" s="3">
        <v>1372</v>
      </c>
      <c r="E239" s="3">
        <v>44166</v>
      </c>
      <c r="F239" s="3">
        <v>8232</v>
      </c>
      <c r="G239" s="195">
        <v>3773</v>
      </c>
    </row>
    <row r="240" spans="1:7">
      <c r="A240" s="194">
        <v>3</v>
      </c>
      <c r="B240" s="3">
        <v>493427</v>
      </c>
      <c r="C240" s="3" t="s">
        <v>507</v>
      </c>
      <c r="D240" s="3">
        <v>1645</v>
      </c>
      <c r="E240" s="3">
        <v>43952</v>
      </c>
      <c r="F240" s="3">
        <v>8225</v>
      </c>
      <c r="G240" s="195">
        <v>3619.0000000000005</v>
      </c>
    </row>
    <row r="241" spans="1:7">
      <c r="A241" s="194">
        <v>4</v>
      </c>
      <c r="B241" s="3">
        <v>752965</v>
      </c>
      <c r="C241" s="3" t="s">
        <v>509</v>
      </c>
      <c r="D241" s="3">
        <v>2729</v>
      </c>
      <c r="E241" s="3">
        <v>44166</v>
      </c>
      <c r="F241" s="3">
        <v>8187</v>
      </c>
      <c r="G241" s="195">
        <v>3411.25</v>
      </c>
    </row>
    <row r="242" spans="1:7">
      <c r="A242" s="194">
        <v>4</v>
      </c>
      <c r="B242" s="3">
        <v>571542</v>
      </c>
      <c r="C242" s="3" t="s">
        <v>507</v>
      </c>
      <c r="D242" s="3">
        <v>1630.5</v>
      </c>
      <c r="E242" s="3">
        <v>44013</v>
      </c>
      <c r="F242" s="3">
        <v>8152.5</v>
      </c>
      <c r="G242" s="195">
        <v>3587.1000000000004</v>
      </c>
    </row>
    <row r="243" spans="1:7">
      <c r="A243" s="194">
        <v>4</v>
      </c>
      <c r="B243" s="3">
        <v>768268</v>
      </c>
      <c r="C243" s="3" t="s">
        <v>508</v>
      </c>
      <c r="D243" s="3">
        <v>2030</v>
      </c>
      <c r="E243" s="3">
        <v>44136</v>
      </c>
      <c r="F243" s="3">
        <v>8120</v>
      </c>
      <c r="G243" s="195">
        <v>3045</v>
      </c>
    </row>
    <row r="244" spans="1:7">
      <c r="A244" s="194">
        <v>4</v>
      </c>
      <c r="B244" s="3">
        <v>725869</v>
      </c>
      <c r="C244" s="3" t="s">
        <v>508</v>
      </c>
      <c r="D244" s="3">
        <v>2021</v>
      </c>
      <c r="E244" s="3">
        <v>44105</v>
      </c>
      <c r="F244" s="3">
        <v>8084</v>
      </c>
      <c r="G244" s="195">
        <v>3031.5</v>
      </c>
    </row>
    <row r="245" spans="1:7">
      <c r="A245" s="194">
        <v>3</v>
      </c>
      <c r="B245" s="3">
        <v>216326</v>
      </c>
      <c r="C245" s="3" t="s">
        <v>506</v>
      </c>
      <c r="D245" s="3">
        <v>1614</v>
      </c>
      <c r="E245" s="3">
        <v>43922</v>
      </c>
      <c r="F245" s="3">
        <v>8070</v>
      </c>
      <c r="G245" s="195">
        <v>3228</v>
      </c>
    </row>
    <row r="246" spans="1:7">
      <c r="A246" s="194">
        <v>5</v>
      </c>
      <c r="B246" s="3">
        <v>639651</v>
      </c>
      <c r="C246" s="3" t="s">
        <v>509</v>
      </c>
      <c r="D246" s="3">
        <v>2689</v>
      </c>
      <c r="E246" s="3">
        <v>44105</v>
      </c>
      <c r="F246" s="3">
        <v>8067</v>
      </c>
      <c r="G246" s="195">
        <v>3361.25</v>
      </c>
    </row>
    <row r="247" spans="1:7">
      <c r="A247" s="194">
        <v>4</v>
      </c>
      <c r="B247" s="3">
        <v>750389</v>
      </c>
      <c r="C247" s="3" t="s">
        <v>509</v>
      </c>
      <c r="D247" s="3">
        <v>2682</v>
      </c>
      <c r="E247" s="3">
        <v>43770</v>
      </c>
      <c r="F247" s="3">
        <v>8046</v>
      </c>
      <c r="G247" s="195">
        <v>3352.5</v>
      </c>
    </row>
    <row r="248" spans="1:7">
      <c r="A248" s="194">
        <v>1</v>
      </c>
      <c r="B248" s="3">
        <v>218291</v>
      </c>
      <c r="C248" s="3" t="s">
        <v>506</v>
      </c>
      <c r="D248" s="3">
        <v>1607</v>
      </c>
      <c r="E248" s="3">
        <v>43922</v>
      </c>
      <c r="F248" s="3">
        <v>8035</v>
      </c>
      <c r="G248" s="195">
        <v>3214</v>
      </c>
    </row>
    <row r="249" spans="1:7">
      <c r="A249" s="194">
        <v>3</v>
      </c>
      <c r="B249" s="3">
        <v>169621</v>
      </c>
      <c r="C249" s="3" t="s">
        <v>505</v>
      </c>
      <c r="D249" s="3">
        <v>1333</v>
      </c>
      <c r="E249" s="3">
        <v>44136</v>
      </c>
      <c r="F249" s="3">
        <v>7998</v>
      </c>
      <c r="G249" s="195">
        <v>3665.75</v>
      </c>
    </row>
    <row r="250" spans="1:7">
      <c r="A250" s="194">
        <v>3</v>
      </c>
      <c r="B250" s="3">
        <v>513469</v>
      </c>
      <c r="C250" s="3" t="s">
        <v>506</v>
      </c>
      <c r="D250" s="3">
        <v>1598</v>
      </c>
      <c r="E250" s="3">
        <v>44044</v>
      </c>
      <c r="F250" s="3">
        <v>7990</v>
      </c>
      <c r="G250" s="195">
        <v>3196</v>
      </c>
    </row>
    <row r="251" spans="1:7">
      <c r="A251" s="194">
        <v>2</v>
      </c>
      <c r="B251" s="3">
        <v>774130</v>
      </c>
      <c r="C251" s="3" t="s">
        <v>509</v>
      </c>
      <c r="D251" s="3">
        <v>2663</v>
      </c>
      <c r="E251" s="3">
        <v>44166</v>
      </c>
      <c r="F251" s="3">
        <v>7989</v>
      </c>
      <c r="G251" s="195">
        <v>3328.75</v>
      </c>
    </row>
    <row r="252" spans="1:7">
      <c r="A252" s="194">
        <v>5</v>
      </c>
      <c r="B252" s="3">
        <v>184366</v>
      </c>
      <c r="C252" s="3" t="s">
        <v>509</v>
      </c>
      <c r="D252" s="3">
        <v>2659</v>
      </c>
      <c r="E252" s="3">
        <v>43862</v>
      </c>
      <c r="F252" s="3">
        <v>7977</v>
      </c>
      <c r="G252" s="195">
        <v>3323.75</v>
      </c>
    </row>
    <row r="253" spans="1:7">
      <c r="A253" s="194">
        <v>5</v>
      </c>
      <c r="B253" s="3">
        <v>559510</v>
      </c>
      <c r="C253" s="3" t="s">
        <v>506</v>
      </c>
      <c r="D253" s="3">
        <v>1594</v>
      </c>
      <c r="E253" s="3">
        <v>44136</v>
      </c>
      <c r="F253" s="3">
        <v>7970</v>
      </c>
      <c r="G253" s="195">
        <v>3188</v>
      </c>
    </row>
    <row r="254" spans="1:7">
      <c r="A254" s="194">
        <v>4</v>
      </c>
      <c r="B254" s="3">
        <v>670662</v>
      </c>
      <c r="C254" s="3" t="s">
        <v>506</v>
      </c>
      <c r="D254" s="3">
        <v>1583</v>
      </c>
      <c r="E254" s="3">
        <v>43983</v>
      </c>
      <c r="F254" s="3">
        <v>7915</v>
      </c>
      <c r="G254" s="195">
        <v>3166</v>
      </c>
    </row>
    <row r="255" spans="1:7">
      <c r="A255" s="194">
        <v>3</v>
      </c>
      <c r="B255" s="3">
        <v>365552</v>
      </c>
      <c r="C255" s="3" t="s">
        <v>506</v>
      </c>
      <c r="D255" s="3">
        <v>1570</v>
      </c>
      <c r="E255" s="3">
        <v>43983</v>
      </c>
      <c r="F255" s="3">
        <v>7850</v>
      </c>
      <c r="G255" s="195">
        <v>3140</v>
      </c>
    </row>
    <row r="256" spans="1:7">
      <c r="A256" s="194">
        <v>4</v>
      </c>
      <c r="B256" s="3">
        <v>696979</v>
      </c>
      <c r="C256" s="3" t="s">
        <v>505</v>
      </c>
      <c r="D256" s="3">
        <v>1307</v>
      </c>
      <c r="E256" s="3">
        <v>44013</v>
      </c>
      <c r="F256" s="3">
        <v>7842</v>
      </c>
      <c r="G256" s="195">
        <v>3594.25</v>
      </c>
    </row>
    <row r="257" spans="1:7">
      <c r="A257" s="194">
        <v>5</v>
      </c>
      <c r="B257" s="3">
        <v>626543</v>
      </c>
      <c r="C257" s="3" t="s">
        <v>506</v>
      </c>
      <c r="D257" s="3">
        <v>1565</v>
      </c>
      <c r="E257" s="3">
        <v>44105</v>
      </c>
      <c r="F257" s="3">
        <v>7825</v>
      </c>
      <c r="G257" s="195">
        <v>3130</v>
      </c>
    </row>
    <row r="258" spans="1:7">
      <c r="A258" s="194">
        <v>3</v>
      </c>
      <c r="B258" s="3">
        <v>863607</v>
      </c>
      <c r="C258" s="3" t="s">
        <v>508</v>
      </c>
      <c r="D258" s="3">
        <v>1947</v>
      </c>
      <c r="E258" s="3">
        <v>44075</v>
      </c>
      <c r="F258" s="3">
        <v>7788</v>
      </c>
      <c r="G258" s="195">
        <v>2920.5</v>
      </c>
    </row>
    <row r="259" spans="1:7">
      <c r="A259" s="194">
        <v>1</v>
      </c>
      <c r="B259" s="3">
        <v>241164</v>
      </c>
      <c r="C259" s="3" t="s">
        <v>508</v>
      </c>
      <c r="D259" s="3">
        <v>1937</v>
      </c>
      <c r="E259" s="3">
        <v>43862</v>
      </c>
      <c r="F259" s="3">
        <v>7748</v>
      </c>
      <c r="G259" s="195">
        <v>2905.5</v>
      </c>
    </row>
    <row r="260" spans="1:7">
      <c r="A260" s="194">
        <v>2</v>
      </c>
      <c r="B260" s="3">
        <v>384410</v>
      </c>
      <c r="C260" s="3" t="s">
        <v>509</v>
      </c>
      <c r="D260" s="3">
        <v>2567</v>
      </c>
      <c r="E260" s="3">
        <v>43983</v>
      </c>
      <c r="F260" s="3">
        <v>7701</v>
      </c>
      <c r="G260" s="195">
        <v>3208.75</v>
      </c>
    </row>
    <row r="261" spans="1:7">
      <c r="A261" s="194">
        <v>3</v>
      </c>
      <c r="B261" s="3">
        <v>293863</v>
      </c>
      <c r="C261" s="3" t="s">
        <v>506</v>
      </c>
      <c r="D261" s="3">
        <v>1535</v>
      </c>
      <c r="E261" s="3">
        <v>44075</v>
      </c>
      <c r="F261" s="3">
        <v>7675</v>
      </c>
      <c r="G261" s="195">
        <v>3070</v>
      </c>
    </row>
    <row r="262" spans="1:7">
      <c r="A262" s="194">
        <v>3</v>
      </c>
      <c r="B262" s="3">
        <v>143923</v>
      </c>
      <c r="C262" s="3" t="s">
        <v>506</v>
      </c>
      <c r="D262" s="3">
        <v>1531</v>
      </c>
      <c r="E262" s="3">
        <v>44166</v>
      </c>
      <c r="F262" s="3">
        <v>7655</v>
      </c>
      <c r="G262" s="195">
        <v>3062</v>
      </c>
    </row>
    <row r="263" spans="1:7">
      <c r="A263" s="194">
        <v>3</v>
      </c>
      <c r="B263" s="3">
        <v>444518</v>
      </c>
      <c r="C263" s="3" t="s">
        <v>509</v>
      </c>
      <c r="D263" s="3">
        <v>2541</v>
      </c>
      <c r="E263" s="3">
        <v>44044</v>
      </c>
      <c r="F263" s="3">
        <v>7623</v>
      </c>
      <c r="G263" s="195">
        <v>3176.25</v>
      </c>
    </row>
    <row r="264" spans="1:7">
      <c r="A264" s="194">
        <v>3</v>
      </c>
      <c r="B264" s="3">
        <v>447945</v>
      </c>
      <c r="C264" s="3" t="s">
        <v>505</v>
      </c>
      <c r="D264" s="3">
        <v>1269</v>
      </c>
      <c r="E264" s="3">
        <v>44105</v>
      </c>
      <c r="F264" s="3">
        <v>7614</v>
      </c>
      <c r="G264" s="195">
        <v>3489.75</v>
      </c>
    </row>
    <row r="265" spans="1:7">
      <c r="A265" s="194">
        <v>5</v>
      </c>
      <c r="B265" s="3">
        <v>872307</v>
      </c>
      <c r="C265" s="3" t="s">
        <v>507</v>
      </c>
      <c r="D265" s="3">
        <v>1520</v>
      </c>
      <c r="E265" s="3">
        <v>44136</v>
      </c>
      <c r="F265" s="3">
        <v>7600</v>
      </c>
      <c r="G265" s="195">
        <v>3344.0000000000005</v>
      </c>
    </row>
    <row r="266" spans="1:7">
      <c r="A266" s="194">
        <v>2</v>
      </c>
      <c r="B266" s="3">
        <v>820943</v>
      </c>
      <c r="C266" s="3" t="s">
        <v>509</v>
      </c>
      <c r="D266" s="3">
        <v>2529</v>
      </c>
      <c r="E266" s="3">
        <v>44136</v>
      </c>
      <c r="F266" s="3">
        <v>7587</v>
      </c>
      <c r="G266" s="195">
        <v>3161.25</v>
      </c>
    </row>
    <row r="267" spans="1:7">
      <c r="A267" s="194">
        <v>3</v>
      </c>
      <c r="B267" s="3">
        <v>636371</v>
      </c>
      <c r="C267" s="3" t="s">
        <v>505</v>
      </c>
      <c r="D267" s="3">
        <v>1262</v>
      </c>
      <c r="E267" s="3">
        <v>43952</v>
      </c>
      <c r="F267" s="3">
        <v>7572</v>
      </c>
      <c r="G267" s="195">
        <v>3470.5</v>
      </c>
    </row>
    <row r="268" spans="1:7">
      <c r="A268" s="194">
        <v>3</v>
      </c>
      <c r="B268" s="3">
        <v>538134</v>
      </c>
      <c r="C268" s="3" t="s">
        <v>506</v>
      </c>
      <c r="D268" s="3">
        <v>1514</v>
      </c>
      <c r="E268" s="3">
        <v>43739</v>
      </c>
      <c r="F268" s="3">
        <v>7570</v>
      </c>
      <c r="G268" s="195">
        <v>3028</v>
      </c>
    </row>
    <row r="269" spans="1:7">
      <c r="A269" s="194">
        <v>3</v>
      </c>
      <c r="B269" s="3">
        <v>562219</v>
      </c>
      <c r="C269" s="3" t="s">
        <v>506</v>
      </c>
      <c r="D269" s="3">
        <v>1514</v>
      </c>
      <c r="E269" s="3">
        <v>43862</v>
      </c>
      <c r="F269" s="3">
        <v>7570</v>
      </c>
      <c r="G269" s="195">
        <v>3028</v>
      </c>
    </row>
    <row r="270" spans="1:7">
      <c r="A270" s="194">
        <v>3</v>
      </c>
      <c r="B270" s="3">
        <v>183251</v>
      </c>
      <c r="C270" s="3" t="s">
        <v>506</v>
      </c>
      <c r="D270" s="3">
        <v>1513</v>
      </c>
      <c r="E270" s="3">
        <v>44166</v>
      </c>
      <c r="F270" s="3">
        <v>7565</v>
      </c>
      <c r="G270" s="195">
        <v>3026</v>
      </c>
    </row>
    <row r="271" spans="1:7">
      <c r="A271" s="194">
        <v>1</v>
      </c>
      <c r="B271" s="3">
        <v>572044</v>
      </c>
      <c r="C271" s="3" t="s">
        <v>508</v>
      </c>
      <c r="D271" s="3">
        <v>1884</v>
      </c>
      <c r="E271" s="3">
        <v>44044</v>
      </c>
      <c r="F271" s="3">
        <v>7536</v>
      </c>
      <c r="G271" s="195">
        <v>2826</v>
      </c>
    </row>
    <row r="272" spans="1:7">
      <c r="A272" s="194">
        <v>2</v>
      </c>
      <c r="B272" s="3">
        <v>553803</v>
      </c>
      <c r="C272" s="3" t="s">
        <v>505</v>
      </c>
      <c r="D272" s="3">
        <v>1250</v>
      </c>
      <c r="E272" s="3">
        <v>44166</v>
      </c>
      <c r="F272" s="3">
        <v>7500</v>
      </c>
      <c r="G272" s="195">
        <v>3437.5</v>
      </c>
    </row>
    <row r="273" spans="1:7">
      <c r="A273" s="194">
        <v>3</v>
      </c>
      <c r="B273" s="3">
        <v>568366</v>
      </c>
      <c r="C273" s="3" t="s">
        <v>506</v>
      </c>
      <c r="D273" s="3">
        <v>1496</v>
      </c>
      <c r="E273" s="3">
        <v>43983</v>
      </c>
      <c r="F273" s="3">
        <v>7480</v>
      </c>
      <c r="G273" s="195">
        <v>2992</v>
      </c>
    </row>
    <row r="274" spans="1:7">
      <c r="A274" s="194">
        <v>5</v>
      </c>
      <c r="B274" s="3">
        <v>792599</v>
      </c>
      <c r="C274" s="3" t="s">
        <v>509</v>
      </c>
      <c r="D274" s="3">
        <v>2487</v>
      </c>
      <c r="E274" s="3">
        <v>44166</v>
      </c>
      <c r="F274" s="3">
        <v>7461</v>
      </c>
      <c r="G274" s="195">
        <v>3108.75</v>
      </c>
    </row>
    <row r="275" spans="1:7">
      <c r="A275" s="194">
        <v>3</v>
      </c>
      <c r="B275" s="3">
        <v>449939</v>
      </c>
      <c r="C275" s="3" t="s">
        <v>508</v>
      </c>
      <c r="D275" s="3">
        <v>1865</v>
      </c>
      <c r="E275" s="3">
        <v>43862</v>
      </c>
      <c r="F275" s="3">
        <v>7460</v>
      </c>
      <c r="G275" s="195">
        <v>2797.5</v>
      </c>
    </row>
    <row r="276" spans="1:7">
      <c r="A276" s="194">
        <v>2</v>
      </c>
      <c r="B276" s="3">
        <v>444395</v>
      </c>
      <c r="C276" s="3" t="s">
        <v>509</v>
      </c>
      <c r="D276" s="3">
        <v>2479</v>
      </c>
      <c r="E276" s="3">
        <v>43831</v>
      </c>
      <c r="F276" s="3">
        <v>7437</v>
      </c>
      <c r="G276" s="195">
        <v>3098.75</v>
      </c>
    </row>
    <row r="277" spans="1:7">
      <c r="A277" s="194">
        <v>3</v>
      </c>
      <c r="B277" s="3">
        <v>161388</v>
      </c>
      <c r="C277" s="3" t="s">
        <v>508</v>
      </c>
      <c r="D277" s="3">
        <v>1858</v>
      </c>
      <c r="E277" s="3">
        <v>43862</v>
      </c>
      <c r="F277" s="3">
        <v>7432</v>
      </c>
      <c r="G277" s="195">
        <v>2787</v>
      </c>
    </row>
    <row r="278" spans="1:7">
      <c r="A278" s="194">
        <v>4</v>
      </c>
      <c r="B278" s="3">
        <v>119027</v>
      </c>
      <c r="C278" s="3" t="s">
        <v>508</v>
      </c>
      <c r="D278" s="3">
        <v>1834</v>
      </c>
      <c r="E278" s="3">
        <v>43709</v>
      </c>
      <c r="F278" s="3">
        <v>7336</v>
      </c>
      <c r="G278" s="195">
        <v>2751</v>
      </c>
    </row>
    <row r="279" spans="1:7">
      <c r="A279" s="194">
        <v>3</v>
      </c>
      <c r="B279" s="3">
        <v>669715</v>
      </c>
      <c r="C279" s="3" t="s">
        <v>505</v>
      </c>
      <c r="D279" s="3">
        <v>1221</v>
      </c>
      <c r="E279" s="3">
        <v>43739</v>
      </c>
      <c r="F279" s="3">
        <v>7326</v>
      </c>
      <c r="G279" s="195">
        <v>3357.75</v>
      </c>
    </row>
    <row r="280" spans="1:7">
      <c r="A280" s="194">
        <v>5</v>
      </c>
      <c r="B280" s="3">
        <v>562962</v>
      </c>
      <c r="C280" s="3" t="s">
        <v>509</v>
      </c>
      <c r="D280" s="3">
        <v>2436</v>
      </c>
      <c r="E280" s="3">
        <v>43800</v>
      </c>
      <c r="F280" s="3">
        <v>7308</v>
      </c>
      <c r="G280" s="195">
        <v>3045</v>
      </c>
    </row>
    <row r="281" spans="1:7">
      <c r="A281" s="194">
        <v>3</v>
      </c>
      <c r="B281" s="3">
        <v>710711</v>
      </c>
      <c r="C281" s="3" t="s">
        <v>506</v>
      </c>
      <c r="D281" s="3">
        <v>1438.5</v>
      </c>
      <c r="E281" s="3">
        <v>43831</v>
      </c>
      <c r="F281" s="3">
        <v>7192.5</v>
      </c>
      <c r="G281" s="195">
        <v>2877</v>
      </c>
    </row>
    <row r="282" spans="1:7">
      <c r="A282" s="194">
        <v>3</v>
      </c>
      <c r="B282" s="3">
        <v>821698</v>
      </c>
      <c r="C282" s="3" t="s">
        <v>507</v>
      </c>
      <c r="D282" s="3">
        <v>1433</v>
      </c>
      <c r="E282" s="3">
        <v>43952</v>
      </c>
      <c r="F282" s="3">
        <v>7165</v>
      </c>
      <c r="G282" s="195">
        <v>3152.6000000000004</v>
      </c>
    </row>
    <row r="283" spans="1:7">
      <c r="A283" s="194">
        <v>2</v>
      </c>
      <c r="B283" s="3">
        <v>601126</v>
      </c>
      <c r="C283" s="3" t="s">
        <v>509</v>
      </c>
      <c r="D283" s="3">
        <v>2387</v>
      </c>
      <c r="E283" s="3">
        <v>44136</v>
      </c>
      <c r="F283" s="3">
        <v>7161</v>
      </c>
      <c r="G283" s="195">
        <v>2983.75</v>
      </c>
    </row>
    <row r="284" spans="1:7">
      <c r="A284" s="194">
        <v>3</v>
      </c>
      <c r="B284" s="3">
        <v>317699</v>
      </c>
      <c r="C284" s="3" t="s">
        <v>508</v>
      </c>
      <c r="D284" s="3">
        <v>1790</v>
      </c>
      <c r="E284" s="3">
        <v>43891</v>
      </c>
      <c r="F284" s="3">
        <v>7160</v>
      </c>
      <c r="G284" s="195">
        <v>2685</v>
      </c>
    </row>
    <row r="285" spans="1:7">
      <c r="A285" s="194">
        <v>3</v>
      </c>
      <c r="B285" s="3">
        <v>168032</v>
      </c>
      <c r="C285" s="3" t="s">
        <v>505</v>
      </c>
      <c r="D285" s="3">
        <v>1190</v>
      </c>
      <c r="E285" s="3">
        <v>43983</v>
      </c>
      <c r="F285" s="3">
        <v>7140</v>
      </c>
      <c r="G285" s="195">
        <v>3272.5</v>
      </c>
    </row>
    <row r="286" spans="1:7">
      <c r="A286" s="194">
        <v>4</v>
      </c>
      <c r="B286" s="3">
        <v>595670</v>
      </c>
      <c r="C286" s="3" t="s">
        <v>506</v>
      </c>
      <c r="D286" s="3">
        <v>1414.5</v>
      </c>
      <c r="E286" s="3">
        <v>43922</v>
      </c>
      <c r="F286" s="3">
        <v>7072.5</v>
      </c>
      <c r="G286" s="195">
        <v>2829</v>
      </c>
    </row>
    <row r="287" spans="1:7">
      <c r="A287" s="194">
        <v>1</v>
      </c>
      <c r="B287" s="3">
        <v>345233</v>
      </c>
      <c r="C287" s="3" t="s">
        <v>508</v>
      </c>
      <c r="D287" s="3">
        <v>1761</v>
      </c>
      <c r="E287" s="3">
        <v>43891</v>
      </c>
      <c r="F287" s="3">
        <v>7044</v>
      </c>
      <c r="G287" s="195">
        <v>2641.5</v>
      </c>
    </row>
    <row r="288" spans="1:7">
      <c r="A288" s="194">
        <v>3</v>
      </c>
      <c r="B288" s="3">
        <v>521535</v>
      </c>
      <c r="C288" s="3" t="s">
        <v>506</v>
      </c>
      <c r="D288" s="3">
        <v>1404</v>
      </c>
      <c r="E288" s="3">
        <v>43770</v>
      </c>
      <c r="F288" s="3">
        <v>7020</v>
      </c>
      <c r="G288" s="195">
        <v>2808</v>
      </c>
    </row>
    <row r="289" spans="1:7">
      <c r="A289" s="194">
        <v>3</v>
      </c>
      <c r="B289" s="3">
        <v>504962</v>
      </c>
      <c r="C289" s="3" t="s">
        <v>507</v>
      </c>
      <c r="D289" s="3">
        <v>1403</v>
      </c>
      <c r="E289" s="3">
        <v>43739</v>
      </c>
      <c r="F289" s="3">
        <v>7015</v>
      </c>
      <c r="G289" s="195">
        <v>3086.6000000000004</v>
      </c>
    </row>
    <row r="290" spans="1:7">
      <c r="A290" s="194">
        <v>3</v>
      </c>
      <c r="B290" s="3">
        <v>406234</v>
      </c>
      <c r="C290" s="3" t="s">
        <v>509</v>
      </c>
      <c r="D290" s="3">
        <v>2338</v>
      </c>
      <c r="E290" s="3">
        <v>43983</v>
      </c>
      <c r="F290" s="3">
        <v>7014</v>
      </c>
      <c r="G290" s="195">
        <v>2922.5</v>
      </c>
    </row>
    <row r="291" spans="1:7">
      <c r="A291" s="194">
        <v>3</v>
      </c>
      <c r="B291" s="3">
        <v>759484</v>
      </c>
      <c r="C291" s="3" t="s">
        <v>508</v>
      </c>
      <c r="D291" s="3">
        <v>1743</v>
      </c>
      <c r="E291" s="3">
        <v>43952</v>
      </c>
      <c r="F291" s="3">
        <v>6972</v>
      </c>
      <c r="G291" s="195">
        <v>2614.5</v>
      </c>
    </row>
    <row r="292" spans="1:7">
      <c r="A292" s="194">
        <v>2</v>
      </c>
      <c r="B292" s="3">
        <v>158597</v>
      </c>
      <c r="C292" s="3" t="s">
        <v>506</v>
      </c>
      <c r="D292" s="3">
        <v>1393</v>
      </c>
      <c r="E292" s="3">
        <v>44105</v>
      </c>
      <c r="F292" s="3">
        <v>6965</v>
      </c>
      <c r="G292" s="195">
        <v>2786</v>
      </c>
    </row>
    <row r="293" spans="1:7">
      <c r="A293" s="194">
        <v>3</v>
      </c>
      <c r="B293" s="3">
        <v>540063</v>
      </c>
      <c r="C293" s="3" t="s">
        <v>507</v>
      </c>
      <c r="D293" s="3">
        <v>1393</v>
      </c>
      <c r="E293" s="3">
        <v>44105</v>
      </c>
      <c r="F293" s="3">
        <v>6965</v>
      </c>
      <c r="G293" s="195">
        <v>3064.6000000000004</v>
      </c>
    </row>
    <row r="294" spans="1:7">
      <c r="A294" s="194">
        <v>3</v>
      </c>
      <c r="B294" s="3">
        <v>691331</v>
      </c>
      <c r="C294" s="3" t="s">
        <v>506</v>
      </c>
      <c r="D294" s="3">
        <v>1389</v>
      </c>
      <c r="E294" s="3">
        <v>43739</v>
      </c>
      <c r="F294" s="3">
        <v>6945</v>
      </c>
      <c r="G294" s="195">
        <v>2778</v>
      </c>
    </row>
    <row r="295" spans="1:7">
      <c r="A295" s="194">
        <v>1</v>
      </c>
      <c r="B295" s="3">
        <v>872775</v>
      </c>
      <c r="C295" s="3" t="s">
        <v>509</v>
      </c>
      <c r="D295" s="3">
        <v>2297</v>
      </c>
      <c r="E295" s="3">
        <v>43770</v>
      </c>
      <c r="F295" s="3">
        <v>6891</v>
      </c>
      <c r="G295" s="195">
        <v>2871.25</v>
      </c>
    </row>
    <row r="296" spans="1:7">
      <c r="A296" s="194">
        <v>2</v>
      </c>
      <c r="B296" s="3">
        <v>540189</v>
      </c>
      <c r="C296" s="3" t="s">
        <v>509</v>
      </c>
      <c r="D296" s="3">
        <v>2294</v>
      </c>
      <c r="E296" s="3">
        <v>43739</v>
      </c>
      <c r="F296" s="3">
        <v>6882</v>
      </c>
      <c r="G296" s="195">
        <v>2867.5</v>
      </c>
    </row>
    <row r="297" spans="1:7">
      <c r="A297" s="194">
        <v>4</v>
      </c>
      <c r="B297" s="3">
        <v>545954</v>
      </c>
      <c r="C297" s="3" t="s">
        <v>507</v>
      </c>
      <c r="D297" s="3">
        <v>1375</v>
      </c>
      <c r="E297" s="3">
        <v>43800</v>
      </c>
      <c r="F297" s="3">
        <v>6875</v>
      </c>
      <c r="G297" s="195">
        <v>3025.0000000000005</v>
      </c>
    </row>
    <row r="298" spans="1:7">
      <c r="A298" s="194">
        <v>1</v>
      </c>
      <c r="B298" s="3">
        <v>631270</v>
      </c>
      <c r="C298" s="3" t="s">
        <v>506</v>
      </c>
      <c r="D298" s="3">
        <v>1372</v>
      </c>
      <c r="E298" s="3">
        <v>43831</v>
      </c>
      <c r="F298" s="3">
        <v>6860</v>
      </c>
      <c r="G298" s="195">
        <v>2744</v>
      </c>
    </row>
    <row r="299" spans="1:7">
      <c r="A299" s="194">
        <v>5</v>
      </c>
      <c r="B299" s="3">
        <v>560670</v>
      </c>
      <c r="C299" s="3" t="s">
        <v>507</v>
      </c>
      <c r="D299" s="3">
        <v>1372</v>
      </c>
      <c r="E299" s="3">
        <v>44166</v>
      </c>
      <c r="F299" s="3">
        <v>6860</v>
      </c>
      <c r="G299" s="195">
        <v>3018.4</v>
      </c>
    </row>
    <row r="300" spans="1:7">
      <c r="A300" s="194">
        <v>4</v>
      </c>
      <c r="B300" s="3">
        <v>713958</v>
      </c>
      <c r="C300" s="3" t="s">
        <v>506</v>
      </c>
      <c r="D300" s="3">
        <v>1369.5</v>
      </c>
      <c r="E300" s="3">
        <v>44013</v>
      </c>
      <c r="F300" s="3">
        <v>6847.5</v>
      </c>
      <c r="G300" s="195">
        <v>2739</v>
      </c>
    </row>
    <row r="301" spans="1:7">
      <c r="A301" s="194">
        <v>3</v>
      </c>
      <c r="B301" s="3">
        <v>418690</v>
      </c>
      <c r="C301" s="3" t="s">
        <v>506</v>
      </c>
      <c r="D301" s="3">
        <v>1366</v>
      </c>
      <c r="E301" s="3">
        <v>43983</v>
      </c>
      <c r="F301" s="3">
        <v>6830</v>
      </c>
      <c r="G301" s="195">
        <v>2732</v>
      </c>
    </row>
    <row r="302" spans="1:7">
      <c r="A302" s="194">
        <v>3</v>
      </c>
      <c r="B302" s="3">
        <v>277131</v>
      </c>
      <c r="C302" s="3" t="s">
        <v>507</v>
      </c>
      <c r="D302" s="3">
        <v>1366</v>
      </c>
      <c r="E302" s="3">
        <v>43983</v>
      </c>
      <c r="F302" s="3">
        <v>6830</v>
      </c>
      <c r="G302" s="195">
        <v>3005.2000000000003</v>
      </c>
    </row>
    <row r="303" spans="1:7">
      <c r="A303" s="194">
        <v>3</v>
      </c>
      <c r="B303" s="3">
        <v>781275</v>
      </c>
      <c r="C303" s="3" t="s">
        <v>506</v>
      </c>
      <c r="D303" s="3">
        <v>1366</v>
      </c>
      <c r="E303" s="3">
        <v>44136</v>
      </c>
      <c r="F303" s="3">
        <v>6830</v>
      </c>
      <c r="G303" s="195">
        <v>2732</v>
      </c>
    </row>
    <row r="304" spans="1:7">
      <c r="A304" s="194">
        <v>3</v>
      </c>
      <c r="B304" s="3">
        <v>223911</v>
      </c>
      <c r="C304" s="3" t="s">
        <v>505</v>
      </c>
      <c r="D304" s="3">
        <v>1135</v>
      </c>
      <c r="E304" s="3">
        <v>43983</v>
      </c>
      <c r="F304" s="3">
        <v>6810</v>
      </c>
      <c r="G304" s="195">
        <v>3121.25</v>
      </c>
    </row>
    <row r="305" spans="1:7">
      <c r="A305" s="194">
        <v>5</v>
      </c>
      <c r="B305" s="3">
        <v>816536</v>
      </c>
      <c r="C305" s="3" t="s">
        <v>506</v>
      </c>
      <c r="D305" s="3">
        <v>1362</v>
      </c>
      <c r="E305" s="3">
        <v>44166</v>
      </c>
      <c r="F305" s="3">
        <v>6810</v>
      </c>
      <c r="G305" s="195">
        <v>2724</v>
      </c>
    </row>
    <row r="306" spans="1:7">
      <c r="A306" s="194">
        <v>2</v>
      </c>
      <c r="B306" s="3">
        <v>259455</v>
      </c>
      <c r="C306" s="3" t="s">
        <v>506</v>
      </c>
      <c r="D306" s="3">
        <v>1359</v>
      </c>
      <c r="E306" s="3">
        <v>44136</v>
      </c>
      <c r="F306" s="3">
        <v>6795</v>
      </c>
      <c r="G306" s="195">
        <v>2718</v>
      </c>
    </row>
    <row r="307" spans="1:7">
      <c r="A307" s="194">
        <v>3</v>
      </c>
      <c r="B307" s="3">
        <v>357838</v>
      </c>
      <c r="C307" s="3" t="s">
        <v>507</v>
      </c>
      <c r="D307" s="3">
        <v>1350</v>
      </c>
      <c r="E307" s="3">
        <v>43862</v>
      </c>
      <c r="F307" s="3">
        <v>6750</v>
      </c>
      <c r="G307" s="195">
        <v>2970.0000000000005</v>
      </c>
    </row>
    <row r="308" spans="1:7">
      <c r="A308" s="194">
        <v>1</v>
      </c>
      <c r="B308" s="3">
        <v>594463</v>
      </c>
      <c r="C308" s="3" t="s">
        <v>509</v>
      </c>
      <c r="D308" s="3">
        <v>2234</v>
      </c>
      <c r="E308" s="3">
        <v>43709</v>
      </c>
      <c r="F308" s="3">
        <v>6702</v>
      </c>
      <c r="G308" s="195">
        <v>2792.5</v>
      </c>
    </row>
    <row r="309" spans="1:7">
      <c r="A309" s="194">
        <v>5</v>
      </c>
      <c r="B309" s="3">
        <v>899556</v>
      </c>
      <c r="C309" s="3" t="s">
        <v>509</v>
      </c>
      <c r="D309" s="3">
        <v>2215</v>
      </c>
      <c r="E309" s="3">
        <v>43709</v>
      </c>
      <c r="F309" s="3">
        <v>6645</v>
      </c>
      <c r="G309" s="195">
        <v>2768.75</v>
      </c>
    </row>
    <row r="310" spans="1:7">
      <c r="A310" s="194">
        <v>2</v>
      </c>
      <c r="B310" s="3">
        <v>205484</v>
      </c>
      <c r="C310" s="3" t="s">
        <v>506</v>
      </c>
      <c r="D310" s="3">
        <v>1324</v>
      </c>
      <c r="E310" s="3">
        <v>44136</v>
      </c>
      <c r="F310" s="3">
        <v>6620</v>
      </c>
      <c r="G310" s="195">
        <v>2648</v>
      </c>
    </row>
    <row r="311" spans="1:7">
      <c r="A311" s="194">
        <v>2</v>
      </c>
      <c r="B311" s="3">
        <v>246621</v>
      </c>
      <c r="C311" s="3" t="s">
        <v>509</v>
      </c>
      <c r="D311" s="3">
        <v>2178</v>
      </c>
      <c r="E311" s="3">
        <v>43983</v>
      </c>
      <c r="F311" s="3">
        <v>6534</v>
      </c>
      <c r="G311" s="195">
        <v>2722.5</v>
      </c>
    </row>
    <row r="312" spans="1:7">
      <c r="A312" s="194">
        <v>1</v>
      </c>
      <c r="B312" s="3">
        <v>144559</v>
      </c>
      <c r="C312" s="3" t="s">
        <v>509</v>
      </c>
      <c r="D312" s="3">
        <v>2177</v>
      </c>
      <c r="E312" s="3">
        <v>44105</v>
      </c>
      <c r="F312" s="3">
        <v>6531</v>
      </c>
      <c r="G312" s="195">
        <v>2721.25</v>
      </c>
    </row>
    <row r="313" spans="1:7">
      <c r="A313" s="194">
        <v>5</v>
      </c>
      <c r="B313" s="3">
        <v>833644</v>
      </c>
      <c r="C313" s="3" t="s">
        <v>506</v>
      </c>
      <c r="D313" s="3">
        <v>1303</v>
      </c>
      <c r="E313" s="3">
        <v>43862</v>
      </c>
      <c r="F313" s="3">
        <v>6515</v>
      </c>
      <c r="G313" s="195">
        <v>2606</v>
      </c>
    </row>
    <row r="314" spans="1:7">
      <c r="A314" s="194">
        <v>2</v>
      </c>
      <c r="B314" s="3">
        <v>765978</v>
      </c>
      <c r="C314" s="3" t="s">
        <v>505</v>
      </c>
      <c r="D314" s="3">
        <v>1084</v>
      </c>
      <c r="E314" s="3">
        <v>44166</v>
      </c>
      <c r="F314" s="3">
        <v>6504</v>
      </c>
      <c r="G314" s="195">
        <v>2981</v>
      </c>
    </row>
    <row r="315" spans="1:7">
      <c r="A315" s="194">
        <v>5</v>
      </c>
      <c r="B315" s="3">
        <v>823956</v>
      </c>
      <c r="C315" s="3" t="s">
        <v>509</v>
      </c>
      <c r="D315" s="3">
        <v>2167</v>
      </c>
      <c r="E315" s="3">
        <v>43739</v>
      </c>
      <c r="F315" s="3">
        <v>6501</v>
      </c>
      <c r="G315" s="195">
        <v>2708.75</v>
      </c>
    </row>
    <row r="316" spans="1:7">
      <c r="A316" s="194">
        <v>4</v>
      </c>
      <c r="B316" s="3">
        <v>776532</v>
      </c>
      <c r="C316" s="3" t="s">
        <v>506</v>
      </c>
      <c r="D316" s="3">
        <v>1295</v>
      </c>
      <c r="E316" s="3">
        <v>44105</v>
      </c>
      <c r="F316" s="3">
        <v>6475</v>
      </c>
      <c r="G316" s="195">
        <v>2590</v>
      </c>
    </row>
    <row r="317" spans="1:7">
      <c r="A317" s="194">
        <v>1</v>
      </c>
      <c r="B317" s="3">
        <v>194906</v>
      </c>
      <c r="C317" s="3" t="s">
        <v>508</v>
      </c>
      <c r="D317" s="3">
        <v>1618.5</v>
      </c>
      <c r="E317" s="3">
        <v>43831</v>
      </c>
      <c r="F317" s="3">
        <v>6474</v>
      </c>
      <c r="G317" s="195">
        <v>2427.75</v>
      </c>
    </row>
    <row r="318" spans="1:7">
      <c r="A318" s="194">
        <v>5</v>
      </c>
      <c r="B318" s="3">
        <v>505496</v>
      </c>
      <c r="C318" s="3" t="s">
        <v>509</v>
      </c>
      <c r="D318" s="3">
        <v>2151</v>
      </c>
      <c r="E318" s="3">
        <v>44075</v>
      </c>
      <c r="F318" s="3">
        <v>6453</v>
      </c>
      <c r="G318" s="195">
        <v>2688.75</v>
      </c>
    </row>
    <row r="319" spans="1:7">
      <c r="A319" s="194">
        <v>2</v>
      </c>
      <c r="B319" s="3">
        <v>455780</v>
      </c>
      <c r="C319" s="3" t="s">
        <v>506</v>
      </c>
      <c r="D319" s="3">
        <v>1287</v>
      </c>
      <c r="E319" s="3">
        <v>44166</v>
      </c>
      <c r="F319" s="3">
        <v>6435</v>
      </c>
      <c r="G319" s="195">
        <v>2574</v>
      </c>
    </row>
    <row r="320" spans="1:7">
      <c r="A320" s="194">
        <v>3</v>
      </c>
      <c r="B320" s="3">
        <v>786700</v>
      </c>
      <c r="C320" s="3" t="s">
        <v>507</v>
      </c>
      <c r="D320" s="3">
        <v>1282</v>
      </c>
      <c r="E320" s="3">
        <v>43983</v>
      </c>
      <c r="F320" s="3">
        <v>6410</v>
      </c>
      <c r="G320" s="195">
        <v>2820.4</v>
      </c>
    </row>
    <row r="321" spans="1:7">
      <c r="A321" s="194">
        <v>4</v>
      </c>
      <c r="B321" s="3">
        <v>711362</v>
      </c>
      <c r="C321" s="3" t="s">
        <v>509</v>
      </c>
      <c r="D321" s="3">
        <v>2134</v>
      </c>
      <c r="E321" s="3">
        <v>44075</v>
      </c>
      <c r="F321" s="3">
        <v>6402</v>
      </c>
      <c r="G321" s="195">
        <v>2667.5</v>
      </c>
    </row>
    <row r="322" spans="1:7">
      <c r="A322" s="194">
        <v>4</v>
      </c>
      <c r="B322" s="3">
        <v>131700</v>
      </c>
      <c r="C322" s="3" t="s">
        <v>507</v>
      </c>
      <c r="D322" s="3">
        <v>1269</v>
      </c>
      <c r="E322" s="3">
        <v>44105</v>
      </c>
      <c r="F322" s="3">
        <v>6345</v>
      </c>
      <c r="G322" s="195">
        <v>2791.8</v>
      </c>
    </row>
    <row r="323" spans="1:7">
      <c r="A323" s="194">
        <v>3</v>
      </c>
      <c r="B323" s="3">
        <v>367956</v>
      </c>
      <c r="C323" s="3" t="s">
        <v>505</v>
      </c>
      <c r="D323" s="3">
        <v>1055</v>
      </c>
      <c r="E323" s="3">
        <v>44166</v>
      </c>
      <c r="F323" s="3">
        <v>6330</v>
      </c>
      <c r="G323" s="195">
        <v>2901.25</v>
      </c>
    </row>
    <row r="324" spans="1:7">
      <c r="A324" s="194">
        <v>2</v>
      </c>
      <c r="B324" s="3">
        <v>644843</v>
      </c>
      <c r="C324" s="3" t="s">
        <v>509</v>
      </c>
      <c r="D324" s="3">
        <v>2109</v>
      </c>
      <c r="E324" s="3">
        <v>43952</v>
      </c>
      <c r="F324" s="3">
        <v>6327</v>
      </c>
      <c r="G324" s="195">
        <v>2636.25</v>
      </c>
    </row>
    <row r="325" spans="1:7">
      <c r="A325" s="194">
        <v>2</v>
      </c>
      <c r="B325" s="3">
        <v>203224</v>
      </c>
      <c r="C325" s="3" t="s">
        <v>508</v>
      </c>
      <c r="D325" s="3">
        <v>1580</v>
      </c>
      <c r="E325" s="3">
        <v>44075</v>
      </c>
      <c r="F325" s="3">
        <v>6320</v>
      </c>
      <c r="G325" s="195">
        <v>2370</v>
      </c>
    </row>
    <row r="326" spans="1:7">
      <c r="A326" s="194">
        <v>3</v>
      </c>
      <c r="B326" s="3">
        <v>428676</v>
      </c>
      <c r="C326" s="3" t="s">
        <v>506</v>
      </c>
      <c r="D326" s="3">
        <v>1259</v>
      </c>
      <c r="E326" s="3">
        <v>43922</v>
      </c>
      <c r="F326" s="3">
        <v>6295</v>
      </c>
      <c r="G326" s="195">
        <v>2518</v>
      </c>
    </row>
    <row r="327" spans="1:7">
      <c r="A327" s="194">
        <v>2</v>
      </c>
      <c r="B327" s="3">
        <v>295574</v>
      </c>
      <c r="C327" s="3" t="s">
        <v>508</v>
      </c>
      <c r="D327" s="3">
        <v>1563</v>
      </c>
      <c r="E327" s="3">
        <v>43952</v>
      </c>
      <c r="F327" s="3">
        <v>6252</v>
      </c>
      <c r="G327" s="195">
        <v>2344.5</v>
      </c>
    </row>
    <row r="328" spans="1:7">
      <c r="A328" s="194">
        <v>2</v>
      </c>
      <c r="B328" s="3">
        <v>707082</v>
      </c>
      <c r="C328" s="3" t="s">
        <v>507</v>
      </c>
      <c r="D328" s="3">
        <v>1250</v>
      </c>
      <c r="E328" s="3">
        <v>44166</v>
      </c>
      <c r="F328" s="3">
        <v>6250</v>
      </c>
      <c r="G328" s="195">
        <v>2750</v>
      </c>
    </row>
    <row r="329" spans="1:7">
      <c r="A329" s="194">
        <v>3</v>
      </c>
      <c r="B329" s="3">
        <v>374010</v>
      </c>
      <c r="C329" s="3" t="s">
        <v>506</v>
      </c>
      <c r="D329" s="3">
        <v>1249</v>
      </c>
      <c r="E329" s="3">
        <v>44105</v>
      </c>
      <c r="F329" s="3">
        <v>6245</v>
      </c>
      <c r="G329" s="195">
        <v>2498</v>
      </c>
    </row>
    <row r="330" spans="1:7">
      <c r="A330" s="194">
        <v>3</v>
      </c>
      <c r="B330" s="3">
        <v>607051</v>
      </c>
      <c r="C330" s="3" t="s">
        <v>508</v>
      </c>
      <c r="D330" s="3">
        <v>1560</v>
      </c>
      <c r="E330" s="3">
        <v>43770</v>
      </c>
      <c r="F330" s="3">
        <v>6240</v>
      </c>
      <c r="G330" s="195">
        <v>2340</v>
      </c>
    </row>
    <row r="331" spans="1:7">
      <c r="A331" s="194">
        <v>4</v>
      </c>
      <c r="B331" s="3">
        <v>234670</v>
      </c>
      <c r="C331" s="3" t="s">
        <v>505</v>
      </c>
      <c r="D331" s="3">
        <v>1033</v>
      </c>
      <c r="E331" s="3">
        <v>43800</v>
      </c>
      <c r="F331" s="3">
        <v>6198</v>
      </c>
      <c r="G331" s="195">
        <v>2840.75</v>
      </c>
    </row>
    <row r="332" spans="1:7">
      <c r="A332" s="194">
        <v>2</v>
      </c>
      <c r="B332" s="3">
        <v>734809</v>
      </c>
      <c r="C332" s="3" t="s">
        <v>507</v>
      </c>
      <c r="D332" s="3">
        <v>1236</v>
      </c>
      <c r="E332" s="3">
        <v>44136</v>
      </c>
      <c r="F332" s="3">
        <v>6180</v>
      </c>
      <c r="G332" s="195">
        <v>2719.2000000000003</v>
      </c>
    </row>
    <row r="333" spans="1:7">
      <c r="A333" s="194">
        <v>5</v>
      </c>
      <c r="B333" s="3">
        <v>514463</v>
      </c>
      <c r="C333" s="3" t="s">
        <v>506</v>
      </c>
      <c r="D333" s="3">
        <v>1233</v>
      </c>
      <c r="E333" s="3">
        <v>44166</v>
      </c>
      <c r="F333" s="3">
        <v>6165</v>
      </c>
      <c r="G333" s="195">
        <v>2466</v>
      </c>
    </row>
    <row r="334" spans="1:7">
      <c r="A334" s="194">
        <v>4</v>
      </c>
      <c r="B334" s="3">
        <v>495847</v>
      </c>
      <c r="C334" s="3" t="s">
        <v>508</v>
      </c>
      <c r="D334" s="3">
        <v>1540</v>
      </c>
      <c r="E334" s="3">
        <v>44044</v>
      </c>
      <c r="F334" s="3">
        <v>6160</v>
      </c>
      <c r="G334" s="195">
        <v>2310</v>
      </c>
    </row>
    <row r="335" spans="1:7">
      <c r="A335" s="194">
        <v>3</v>
      </c>
      <c r="B335" s="3">
        <v>697895</v>
      </c>
      <c r="C335" s="3" t="s">
        <v>506</v>
      </c>
      <c r="D335" s="3">
        <v>1228</v>
      </c>
      <c r="E335" s="3">
        <v>43739</v>
      </c>
      <c r="F335" s="3">
        <v>6140</v>
      </c>
      <c r="G335" s="195">
        <v>2456</v>
      </c>
    </row>
    <row r="336" spans="1:7">
      <c r="A336" s="194">
        <v>3</v>
      </c>
      <c r="B336" s="3">
        <v>117166</v>
      </c>
      <c r="C336" s="3" t="s">
        <v>507</v>
      </c>
      <c r="D336" s="3">
        <v>1228</v>
      </c>
      <c r="E336" s="3">
        <v>43739</v>
      </c>
      <c r="F336" s="3">
        <v>6140</v>
      </c>
      <c r="G336" s="195">
        <v>2701.6000000000004</v>
      </c>
    </row>
    <row r="337" spans="1:7">
      <c r="A337" s="194">
        <v>3</v>
      </c>
      <c r="B337" s="3">
        <v>171515</v>
      </c>
      <c r="C337" s="3" t="s">
        <v>506</v>
      </c>
      <c r="D337" s="3">
        <v>1227</v>
      </c>
      <c r="E337" s="3">
        <v>44105</v>
      </c>
      <c r="F337" s="3">
        <v>6135</v>
      </c>
      <c r="G337" s="195">
        <v>2454</v>
      </c>
    </row>
    <row r="338" spans="1:7">
      <c r="A338" s="194">
        <v>3</v>
      </c>
      <c r="B338" s="3">
        <v>758487</v>
      </c>
      <c r="C338" s="3" t="s">
        <v>505</v>
      </c>
      <c r="D338" s="3">
        <v>1013</v>
      </c>
      <c r="E338" s="3">
        <v>44166</v>
      </c>
      <c r="F338" s="3">
        <v>6078</v>
      </c>
      <c r="G338" s="195">
        <v>2785.75</v>
      </c>
    </row>
    <row r="339" spans="1:7">
      <c r="A339" s="194">
        <v>3</v>
      </c>
      <c r="B339" s="3">
        <v>199710</v>
      </c>
      <c r="C339" s="3" t="s">
        <v>508</v>
      </c>
      <c r="D339" s="3">
        <v>1513</v>
      </c>
      <c r="E339" s="3">
        <v>44136</v>
      </c>
      <c r="F339" s="3">
        <v>6052</v>
      </c>
      <c r="G339" s="195">
        <v>2269.5</v>
      </c>
    </row>
    <row r="340" spans="1:7">
      <c r="A340" s="194">
        <v>4</v>
      </c>
      <c r="B340" s="3">
        <v>682634</v>
      </c>
      <c r="C340" s="3" t="s">
        <v>508</v>
      </c>
      <c r="D340" s="3">
        <v>1513</v>
      </c>
      <c r="E340" s="3">
        <v>44166</v>
      </c>
      <c r="F340" s="3">
        <v>6052</v>
      </c>
      <c r="G340" s="195">
        <v>2269.5</v>
      </c>
    </row>
    <row r="341" spans="1:7">
      <c r="A341" s="194">
        <v>4</v>
      </c>
      <c r="B341" s="3">
        <v>552346</v>
      </c>
      <c r="C341" s="3" t="s">
        <v>505</v>
      </c>
      <c r="D341" s="3">
        <v>1006</v>
      </c>
      <c r="E341" s="3">
        <v>43983</v>
      </c>
      <c r="F341" s="3">
        <v>6036</v>
      </c>
      <c r="G341" s="195">
        <v>2766.5</v>
      </c>
    </row>
    <row r="342" spans="1:7">
      <c r="A342" s="194">
        <v>5</v>
      </c>
      <c r="B342" s="3">
        <v>263637</v>
      </c>
      <c r="C342" s="3" t="s">
        <v>505</v>
      </c>
      <c r="D342" s="3">
        <v>1001</v>
      </c>
      <c r="E342" s="3">
        <v>44044</v>
      </c>
      <c r="F342" s="3">
        <v>6006</v>
      </c>
      <c r="G342" s="195">
        <v>2752.75</v>
      </c>
    </row>
    <row r="343" spans="1:7">
      <c r="A343" s="194">
        <v>3</v>
      </c>
      <c r="B343" s="3">
        <v>793118</v>
      </c>
      <c r="C343" s="3" t="s">
        <v>509</v>
      </c>
      <c r="D343" s="3">
        <v>2001</v>
      </c>
      <c r="E343" s="3">
        <v>43862</v>
      </c>
      <c r="F343" s="3">
        <v>6003</v>
      </c>
      <c r="G343" s="195">
        <v>2501.25</v>
      </c>
    </row>
    <row r="344" spans="1:7">
      <c r="A344" s="194">
        <v>3</v>
      </c>
      <c r="B344" s="3">
        <v>294935</v>
      </c>
      <c r="C344" s="3" t="s">
        <v>506</v>
      </c>
      <c r="D344" s="3">
        <v>1198</v>
      </c>
      <c r="E344" s="3">
        <v>43739</v>
      </c>
      <c r="F344" s="3">
        <v>5990</v>
      </c>
      <c r="G344" s="195">
        <v>2396</v>
      </c>
    </row>
    <row r="345" spans="1:7">
      <c r="A345" s="194">
        <v>3</v>
      </c>
      <c r="B345" s="3">
        <v>582048</v>
      </c>
      <c r="C345" s="3" t="s">
        <v>506</v>
      </c>
      <c r="D345" s="3">
        <v>1197</v>
      </c>
      <c r="E345" s="3">
        <v>44136</v>
      </c>
      <c r="F345" s="3">
        <v>5985</v>
      </c>
      <c r="G345" s="195">
        <v>2394</v>
      </c>
    </row>
    <row r="346" spans="1:7">
      <c r="A346" s="194">
        <v>2</v>
      </c>
      <c r="B346" s="3">
        <v>289035</v>
      </c>
      <c r="C346" s="3" t="s">
        <v>508</v>
      </c>
      <c r="D346" s="3">
        <v>1496</v>
      </c>
      <c r="E346" s="3">
        <v>44105</v>
      </c>
      <c r="F346" s="3">
        <v>5984</v>
      </c>
      <c r="G346" s="195">
        <v>2244</v>
      </c>
    </row>
    <row r="347" spans="1:7">
      <c r="A347" s="194">
        <v>3</v>
      </c>
      <c r="B347" s="3">
        <v>479703</v>
      </c>
      <c r="C347" s="3" t="s">
        <v>507</v>
      </c>
      <c r="D347" s="3">
        <v>1190</v>
      </c>
      <c r="E347" s="3">
        <v>43983</v>
      </c>
      <c r="F347" s="3">
        <v>5950</v>
      </c>
      <c r="G347" s="195">
        <v>2618</v>
      </c>
    </row>
    <row r="348" spans="1:7">
      <c r="A348" s="194">
        <v>3</v>
      </c>
      <c r="B348" s="3">
        <v>788517</v>
      </c>
      <c r="C348" s="3" t="s">
        <v>508</v>
      </c>
      <c r="D348" s="3">
        <v>1482</v>
      </c>
      <c r="E348" s="3">
        <v>43800</v>
      </c>
      <c r="F348" s="3">
        <v>5928</v>
      </c>
      <c r="G348" s="195">
        <v>2223</v>
      </c>
    </row>
    <row r="349" spans="1:7">
      <c r="A349" s="194">
        <v>2</v>
      </c>
      <c r="B349" s="3">
        <v>382008</v>
      </c>
      <c r="C349" s="3" t="s">
        <v>505</v>
      </c>
      <c r="D349" s="3">
        <v>986</v>
      </c>
      <c r="E349" s="3">
        <v>44105</v>
      </c>
      <c r="F349" s="3">
        <v>5916</v>
      </c>
      <c r="G349" s="195">
        <v>2711.5</v>
      </c>
    </row>
    <row r="350" spans="1:7">
      <c r="A350" s="194">
        <v>3</v>
      </c>
      <c r="B350" s="3">
        <v>763666</v>
      </c>
      <c r="C350" s="3" t="s">
        <v>506</v>
      </c>
      <c r="D350" s="3">
        <v>1177</v>
      </c>
      <c r="E350" s="3">
        <v>44136</v>
      </c>
      <c r="F350" s="3">
        <v>5885</v>
      </c>
      <c r="G350" s="195">
        <v>2354</v>
      </c>
    </row>
    <row r="351" spans="1:7">
      <c r="A351" s="194">
        <v>2</v>
      </c>
      <c r="B351" s="3">
        <v>837170</v>
      </c>
      <c r="C351" s="3" t="s">
        <v>506</v>
      </c>
      <c r="D351" s="3">
        <v>1175</v>
      </c>
      <c r="E351" s="3">
        <v>44105</v>
      </c>
      <c r="F351" s="3">
        <v>5875</v>
      </c>
      <c r="G351" s="195">
        <v>2350</v>
      </c>
    </row>
    <row r="352" spans="1:7">
      <c r="A352" s="194">
        <v>2</v>
      </c>
      <c r="B352" s="3">
        <v>462436</v>
      </c>
      <c r="C352" s="3" t="s">
        <v>509</v>
      </c>
      <c r="D352" s="3">
        <v>1956</v>
      </c>
      <c r="E352" s="3">
        <v>43831</v>
      </c>
      <c r="F352" s="3">
        <v>5868</v>
      </c>
      <c r="G352" s="195">
        <v>2445</v>
      </c>
    </row>
    <row r="353" spans="1:7">
      <c r="A353" s="194">
        <v>4</v>
      </c>
      <c r="B353" s="3">
        <v>623371</v>
      </c>
      <c r="C353" s="3" t="s">
        <v>509</v>
      </c>
      <c r="D353" s="3">
        <v>1945</v>
      </c>
      <c r="E353" s="3">
        <v>43739</v>
      </c>
      <c r="F353" s="3">
        <v>5835</v>
      </c>
      <c r="G353" s="195">
        <v>2431.25</v>
      </c>
    </row>
    <row r="354" spans="1:7">
      <c r="A354" s="194">
        <v>2</v>
      </c>
      <c r="B354" s="3">
        <v>434482</v>
      </c>
      <c r="C354" s="3" t="s">
        <v>509</v>
      </c>
      <c r="D354" s="3">
        <v>1940</v>
      </c>
      <c r="E354" s="3">
        <v>43800</v>
      </c>
      <c r="F354" s="3">
        <v>5820</v>
      </c>
      <c r="G354" s="195">
        <v>2425</v>
      </c>
    </row>
    <row r="355" spans="1:7">
      <c r="A355" s="194">
        <v>3</v>
      </c>
      <c r="B355" s="3">
        <v>151329</v>
      </c>
      <c r="C355" s="3" t="s">
        <v>507</v>
      </c>
      <c r="D355" s="3">
        <v>1159</v>
      </c>
      <c r="E355" s="3">
        <v>43739</v>
      </c>
      <c r="F355" s="3">
        <v>5795</v>
      </c>
      <c r="G355" s="195">
        <v>2549.8000000000002</v>
      </c>
    </row>
    <row r="356" spans="1:7">
      <c r="A356" s="194">
        <v>4</v>
      </c>
      <c r="B356" s="3">
        <v>690780</v>
      </c>
      <c r="C356" s="3" t="s">
        <v>506</v>
      </c>
      <c r="D356" s="3">
        <v>1158</v>
      </c>
      <c r="E356" s="3">
        <v>43891</v>
      </c>
      <c r="F356" s="3">
        <v>5790</v>
      </c>
      <c r="G356" s="195">
        <v>2316</v>
      </c>
    </row>
    <row r="357" spans="1:7">
      <c r="A357" s="194">
        <v>4</v>
      </c>
      <c r="B357" s="3">
        <v>869055</v>
      </c>
      <c r="C357" s="3" t="s">
        <v>508</v>
      </c>
      <c r="D357" s="3">
        <v>1445</v>
      </c>
      <c r="E357" s="3">
        <v>44075</v>
      </c>
      <c r="F357" s="3">
        <v>5780</v>
      </c>
      <c r="G357" s="195">
        <v>2167.5</v>
      </c>
    </row>
    <row r="358" spans="1:7">
      <c r="A358" s="194">
        <v>2</v>
      </c>
      <c r="B358" s="3">
        <v>203608</v>
      </c>
      <c r="C358" s="3" t="s">
        <v>506</v>
      </c>
      <c r="D358" s="3">
        <v>1153</v>
      </c>
      <c r="E358" s="3">
        <v>44105</v>
      </c>
      <c r="F358" s="3">
        <v>5765</v>
      </c>
      <c r="G358" s="195">
        <v>2306</v>
      </c>
    </row>
    <row r="359" spans="1:7">
      <c r="A359" s="194">
        <v>3</v>
      </c>
      <c r="B359" s="3">
        <v>703612</v>
      </c>
      <c r="C359" s="3" t="s">
        <v>509</v>
      </c>
      <c r="D359" s="3">
        <v>1916</v>
      </c>
      <c r="E359" s="3">
        <v>43922</v>
      </c>
      <c r="F359" s="3">
        <v>5748</v>
      </c>
      <c r="G359" s="195">
        <v>2395</v>
      </c>
    </row>
    <row r="360" spans="1:7">
      <c r="A360" s="194">
        <v>2</v>
      </c>
      <c r="B360" s="3">
        <v>308620</v>
      </c>
      <c r="C360" s="3" t="s">
        <v>506</v>
      </c>
      <c r="D360" s="3">
        <v>1143</v>
      </c>
      <c r="E360" s="3">
        <v>44105</v>
      </c>
      <c r="F360" s="3">
        <v>5715</v>
      </c>
      <c r="G360" s="195">
        <v>2286</v>
      </c>
    </row>
    <row r="361" spans="1:7">
      <c r="A361" s="194">
        <v>3</v>
      </c>
      <c r="B361" s="3">
        <v>170867</v>
      </c>
      <c r="C361" s="3" t="s">
        <v>507</v>
      </c>
      <c r="D361" s="3">
        <v>1143</v>
      </c>
      <c r="E361" s="3">
        <v>44105</v>
      </c>
      <c r="F361" s="3">
        <v>5715</v>
      </c>
      <c r="G361" s="195">
        <v>2514.6000000000004</v>
      </c>
    </row>
    <row r="362" spans="1:7">
      <c r="A362" s="194">
        <v>4</v>
      </c>
      <c r="B362" s="3">
        <v>730844</v>
      </c>
      <c r="C362" s="3" t="s">
        <v>505</v>
      </c>
      <c r="D362" s="3">
        <v>952</v>
      </c>
      <c r="E362" s="3">
        <v>43862</v>
      </c>
      <c r="F362" s="3">
        <v>5712</v>
      </c>
      <c r="G362" s="195">
        <v>2618</v>
      </c>
    </row>
    <row r="363" spans="1:7">
      <c r="A363" s="194">
        <v>1</v>
      </c>
      <c r="B363" s="3">
        <v>234290</v>
      </c>
      <c r="C363" s="3" t="s">
        <v>506</v>
      </c>
      <c r="D363" s="3">
        <v>1142</v>
      </c>
      <c r="E363" s="3">
        <v>43983</v>
      </c>
      <c r="F363" s="3">
        <v>5710</v>
      </c>
      <c r="G363" s="195">
        <v>2284</v>
      </c>
    </row>
    <row r="364" spans="1:7">
      <c r="A364" s="194">
        <v>3</v>
      </c>
      <c r="B364" s="3">
        <v>697568</v>
      </c>
      <c r="C364" s="3" t="s">
        <v>506</v>
      </c>
      <c r="D364" s="3">
        <v>1138</v>
      </c>
      <c r="E364" s="3">
        <v>44166</v>
      </c>
      <c r="F364" s="3">
        <v>5690</v>
      </c>
      <c r="G364" s="195">
        <v>2276</v>
      </c>
    </row>
    <row r="365" spans="1:7">
      <c r="A365" s="194">
        <v>5</v>
      </c>
      <c r="B365" s="3">
        <v>691342</v>
      </c>
      <c r="C365" s="3" t="s">
        <v>507</v>
      </c>
      <c r="D365" s="3">
        <v>1135</v>
      </c>
      <c r="E365" s="3">
        <v>43983</v>
      </c>
      <c r="F365" s="3">
        <v>5675</v>
      </c>
      <c r="G365" s="195">
        <v>2497</v>
      </c>
    </row>
    <row r="366" spans="1:7">
      <c r="A366" s="194">
        <v>2</v>
      </c>
      <c r="B366" s="3">
        <v>149767</v>
      </c>
      <c r="C366" s="3" t="s">
        <v>509</v>
      </c>
      <c r="D366" s="3">
        <v>1874</v>
      </c>
      <c r="E366" s="3">
        <v>44044</v>
      </c>
      <c r="F366" s="3">
        <v>5622</v>
      </c>
      <c r="G366" s="195">
        <v>2342.5</v>
      </c>
    </row>
    <row r="367" spans="1:7">
      <c r="A367" s="194">
        <v>2</v>
      </c>
      <c r="B367" s="3">
        <v>898591</v>
      </c>
      <c r="C367" s="3" t="s">
        <v>506</v>
      </c>
      <c r="D367" s="3">
        <v>1123</v>
      </c>
      <c r="E367" s="3">
        <v>43709</v>
      </c>
      <c r="F367" s="3">
        <v>5615</v>
      </c>
      <c r="G367" s="195">
        <v>2246</v>
      </c>
    </row>
    <row r="368" spans="1:7">
      <c r="A368" s="194">
        <v>2</v>
      </c>
      <c r="B368" s="3">
        <v>304458</v>
      </c>
      <c r="C368" s="3" t="s">
        <v>507</v>
      </c>
      <c r="D368" s="3">
        <v>1123</v>
      </c>
      <c r="E368" s="3">
        <v>44044</v>
      </c>
      <c r="F368" s="3">
        <v>5615</v>
      </c>
      <c r="G368" s="195">
        <v>2470.6000000000004</v>
      </c>
    </row>
    <row r="369" spans="1:7">
      <c r="A369" s="194">
        <v>2</v>
      </c>
      <c r="B369" s="3">
        <v>366080</v>
      </c>
      <c r="C369" s="3" t="s">
        <v>509</v>
      </c>
      <c r="D369" s="3">
        <v>1870</v>
      </c>
      <c r="E369" s="3">
        <v>43800</v>
      </c>
      <c r="F369" s="3">
        <v>5610</v>
      </c>
      <c r="G369" s="195">
        <v>2337.5</v>
      </c>
    </row>
    <row r="370" spans="1:7">
      <c r="A370" s="194">
        <v>3</v>
      </c>
      <c r="B370" s="3">
        <v>667288</v>
      </c>
      <c r="C370" s="3" t="s">
        <v>506</v>
      </c>
      <c r="D370" s="3">
        <v>1122</v>
      </c>
      <c r="E370" s="3">
        <v>43891</v>
      </c>
      <c r="F370" s="3">
        <v>5610</v>
      </c>
      <c r="G370" s="195">
        <v>2244</v>
      </c>
    </row>
    <row r="371" spans="1:7">
      <c r="A371" s="194">
        <v>2</v>
      </c>
      <c r="B371" s="3">
        <v>390355</v>
      </c>
      <c r="C371" s="3" t="s">
        <v>509</v>
      </c>
      <c r="D371" s="3">
        <v>1867</v>
      </c>
      <c r="E371" s="3">
        <v>44075</v>
      </c>
      <c r="F371" s="3">
        <v>5601</v>
      </c>
      <c r="G371" s="195">
        <v>2333.75</v>
      </c>
    </row>
    <row r="372" spans="1:7">
      <c r="A372" s="194">
        <v>2</v>
      </c>
      <c r="B372" s="3">
        <v>653226</v>
      </c>
      <c r="C372" s="3" t="s">
        <v>507</v>
      </c>
      <c r="D372" s="3">
        <v>1118</v>
      </c>
      <c r="E372" s="3">
        <v>44136</v>
      </c>
      <c r="F372" s="3">
        <v>5590</v>
      </c>
      <c r="G372" s="195">
        <v>2459.6000000000004</v>
      </c>
    </row>
    <row r="373" spans="1:7">
      <c r="A373" s="194">
        <v>4</v>
      </c>
      <c r="B373" s="3">
        <v>128044</v>
      </c>
      <c r="C373" s="3" t="s">
        <v>508</v>
      </c>
      <c r="D373" s="3">
        <v>1397</v>
      </c>
      <c r="E373" s="3">
        <v>44105</v>
      </c>
      <c r="F373" s="3">
        <v>5588</v>
      </c>
      <c r="G373" s="195">
        <v>2095.5</v>
      </c>
    </row>
    <row r="374" spans="1:7">
      <c r="A374" s="194">
        <v>4</v>
      </c>
      <c r="B374" s="3">
        <v>686090</v>
      </c>
      <c r="C374" s="3" t="s">
        <v>506</v>
      </c>
      <c r="D374" s="3">
        <v>1114</v>
      </c>
      <c r="E374" s="3">
        <v>43891</v>
      </c>
      <c r="F374" s="3">
        <v>5570</v>
      </c>
      <c r="G374" s="195">
        <v>2228</v>
      </c>
    </row>
    <row r="375" spans="1:7">
      <c r="A375" s="194">
        <v>1</v>
      </c>
      <c r="B375" s="3">
        <v>265959</v>
      </c>
      <c r="C375" s="3" t="s">
        <v>505</v>
      </c>
      <c r="D375" s="3">
        <v>923</v>
      </c>
      <c r="E375" s="3">
        <v>44044</v>
      </c>
      <c r="F375" s="3">
        <v>5538</v>
      </c>
      <c r="G375" s="195">
        <v>2538.25</v>
      </c>
    </row>
    <row r="376" spans="1:7">
      <c r="A376" s="194">
        <v>3</v>
      </c>
      <c r="B376" s="3">
        <v>604462</v>
      </c>
      <c r="C376" s="3" t="s">
        <v>507</v>
      </c>
      <c r="D376" s="3">
        <v>1101</v>
      </c>
      <c r="E376" s="3">
        <v>43891</v>
      </c>
      <c r="F376" s="3">
        <v>5505</v>
      </c>
      <c r="G376" s="195">
        <v>2422.2000000000003</v>
      </c>
    </row>
    <row r="377" spans="1:7">
      <c r="A377" s="194">
        <v>4</v>
      </c>
      <c r="B377" s="3">
        <v>414628</v>
      </c>
      <c r="C377" s="3" t="s">
        <v>505</v>
      </c>
      <c r="D377" s="3">
        <v>914</v>
      </c>
      <c r="E377" s="3">
        <v>44166</v>
      </c>
      <c r="F377" s="3">
        <v>5484</v>
      </c>
      <c r="G377" s="195">
        <v>2513.5</v>
      </c>
    </row>
    <row r="378" spans="1:7">
      <c r="A378" s="194">
        <v>5</v>
      </c>
      <c r="B378" s="3">
        <v>278950</v>
      </c>
      <c r="C378" s="3" t="s">
        <v>506</v>
      </c>
      <c r="D378" s="3">
        <v>1095</v>
      </c>
      <c r="E378" s="3">
        <v>43952</v>
      </c>
      <c r="F378" s="3">
        <v>5475</v>
      </c>
      <c r="G378" s="195">
        <v>2190</v>
      </c>
    </row>
    <row r="379" spans="1:7">
      <c r="A379" s="194">
        <v>5</v>
      </c>
      <c r="B379" s="3">
        <v>529578</v>
      </c>
      <c r="C379" s="3" t="s">
        <v>506</v>
      </c>
      <c r="D379" s="3">
        <v>1094</v>
      </c>
      <c r="E379" s="3">
        <v>43983</v>
      </c>
      <c r="F379" s="3">
        <v>5470</v>
      </c>
      <c r="G379" s="195">
        <v>2188</v>
      </c>
    </row>
    <row r="380" spans="1:7">
      <c r="A380" s="194">
        <v>4</v>
      </c>
      <c r="B380" s="3">
        <v>745887</v>
      </c>
      <c r="C380" s="3" t="s">
        <v>509</v>
      </c>
      <c r="D380" s="3">
        <v>1817</v>
      </c>
      <c r="E380" s="3">
        <v>44166</v>
      </c>
      <c r="F380" s="3">
        <v>5451</v>
      </c>
      <c r="G380" s="195">
        <v>2271.25</v>
      </c>
    </row>
    <row r="381" spans="1:7">
      <c r="A381" s="194">
        <v>4</v>
      </c>
      <c r="B381" s="3">
        <v>702657</v>
      </c>
      <c r="C381" s="3" t="s">
        <v>508</v>
      </c>
      <c r="D381" s="3">
        <v>1362</v>
      </c>
      <c r="E381" s="3">
        <v>44166</v>
      </c>
      <c r="F381" s="3">
        <v>5448</v>
      </c>
      <c r="G381" s="195">
        <v>2043</v>
      </c>
    </row>
    <row r="382" spans="1:7">
      <c r="A382" s="194">
        <v>3</v>
      </c>
      <c r="B382" s="3">
        <v>234667</v>
      </c>
      <c r="C382" s="3" t="s">
        <v>505</v>
      </c>
      <c r="D382" s="3">
        <v>905</v>
      </c>
      <c r="E382" s="3">
        <v>44105</v>
      </c>
      <c r="F382" s="3">
        <v>5430</v>
      </c>
      <c r="G382" s="195">
        <v>2488.75</v>
      </c>
    </row>
    <row r="383" spans="1:7">
      <c r="A383" s="194">
        <v>2</v>
      </c>
      <c r="B383" s="3">
        <v>332447</v>
      </c>
      <c r="C383" s="3" t="s">
        <v>506</v>
      </c>
      <c r="D383" s="3">
        <v>1085</v>
      </c>
      <c r="E383" s="3">
        <v>44105</v>
      </c>
      <c r="F383" s="3">
        <v>5425</v>
      </c>
      <c r="G383" s="195">
        <v>2170</v>
      </c>
    </row>
    <row r="384" spans="1:7">
      <c r="A384" s="194">
        <v>3</v>
      </c>
      <c r="B384" s="3">
        <v>300303</v>
      </c>
      <c r="C384" s="3" t="s">
        <v>506</v>
      </c>
      <c r="D384" s="3">
        <v>1084</v>
      </c>
      <c r="E384" s="3">
        <v>44166</v>
      </c>
      <c r="F384" s="3">
        <v>5420</v>
      </c>
      <c r="G384" s="195">
        <v>2168</v>
      </c>
    </row>
    <row r="385" spans="1:7">
      <c r="A385" s="194">
        <v>3</v>
      </c>
      <c r="B385" s="3">
        <v>559561</v>
      </c>
      <c r="C385" s="3" t="s">
        <v>509</v>
      </c>
      <c r="D385" s="3">
        <v>1806</v>
      </c>
      <c r="E385" s="3">
        <v>43952</v>
      </c>
      <c r="F385" s="3">
        <v>5418</v>
      </c>
      <c r="G385" s="195">
        <v>2257.5</v>
      </c>
    </row>
    <row r="386" spans="1:7">
      <c r="A386" s="194">
        <v>4</v>
      </c>
      <c r="B386" s="3">
        <v>558408</v>
      </c>
      <c r="C386" s="3" t="s">
        <v>507</v>
      </c>
      <c r="D386" s="3">
        <v>1074</v>
      </c>
      <c r="E386" s="3">
        <v>43922</v>
      </c>
      <c r="F386" s="3">
        <v>5370</v>
      </c>
      <c r="G386" s="195">
        <v>2362.8000000000002</v>
      </c>
    </row>
    <row r="387" spans="1:7">
      <c r="A387" s="194">
        <v>4</v>
      </c>
      <c r="B387" s="3">
        <v>858867</v>
      </c>
      <c r="C387" s="3" t="s">
        <v>508</v>
      </c>
      <c r="D387" s="3">
        <v>1321</v>
      </c>
      <c r="E387" s="3">
        <v>43831</v>
      </c>
      <c r="F387" s="3">
        <v>5284</v>
      </c>
      <c r="G387" s="195">
        <v>1981.5</v>
      </c>
    </row>
    <row r="388" spans="1:7">
      <c r="A388" s="194">
        <v>5</v>
      </c>
      <c r="B388" s="3">
        <v>436748</v>
      </c>
      <c r="C388" s="3" t="s">
        <v>506</v>
      </c>
      <c r="D388" s="3">
        <v>1056</v>
      </c>
      <c r="E388" s="3">
        <v>44075</v>
      </c>
      <c r="F388" s="3">
        <v>5280</v>
      </c>
      <c r="G388" s="195">
        <v>2112</v>
      </c>
    </row>
    <row r="389" spans="1:7">
      <c r="A389" s="194">
        <v>5</v>
      </c>
      <c r="B389" s="3">
        <v>531834</v>
      </c>
      <c r="C389" s="3" t="s">
        <v>506</v>
      </c>
      <c r="D389" s="3">
        <v>1055</v>
      </c>
      <c r="E389" s="3">
        <v>44166</v>
      </c>
      <c r="F389" s="3">
        <v>5275</v>
      </c>
      <c r="G389" s="195">
        <v>2110</v>
      </c>
    </row>
    <row r="390" spans="1:7">
      <c r="A390" s="194">
        <v>5</v>
      </c>
      <c r="B390" s="3">
        <v>275167</v>
      </c>
      <c r="C390" s="3" t="s">
        <v>509</v>
      </c>
      <c r="D390" s="3">
        <v>1744</v>
      </c>
      <c r="E390" s="3">
        <v>44136</v>
      </c>
      <c r="F390" s="3">
        <v>5232</v>
      </c>
      <c r="G390" s="195">
        <v>2180</v>
      </c>
    </row>
    <row r="391" spans="1:7">
      <c r="A391" s="194">
        <v>2</v>
      </c>
      <c r="B391" s="3">
        <v>361541</v>
      </c>
      <c r="C391" s="3" t="s">
        <v>509</v>
      </c>
      <c r="D391" s="3">
        <v>1738.5</v>
      </c>
      <c r="E391" s="3">
        <v>43922</v>
      </c>
      <c r="F391" s="3">
        <v>5215.5</v>
      </c>
      <c r="G391" s="195">
        <v>2173.125</v>
      </c>
    </row>
    <row r="392" spans="1:7">
      <c r="A392" s="194">
        <v>2</v>
      </c>
      <c r="B392" s="3">
        <v>153144</v>
      </c>
      <c r="C392" s="3" t="s">
        <v>509</v>
      </c>
      <c r="D392" s="3">
        <v>1734</v>
      </c>
      <c r="E392" s="3">
        <v>43831</v>
      </c>
      <c r="F392" s="3">
        <v>5202</v>
      </c>
      <c r="G392" s="195">
        <v>2167.5</v>
      </c>
    </row>
    <row r="393" spans="1:7">
      <c r="A393" s="194">
        <v>3</v>
      </c>
      <c r="B393" s="3">
        <v>842675</v>
      </c>
      <c r="C393" s="3" t="s">
        <v>507</v>
      </c>
      <c r="D393" s="3">
        <v>1038</v>
      </c>
      <c r="E393" s="3">
        <v>43983</v>
      </c>
      <c r="F393" s="3">
        <v>5190</v>
      </c>
      <c r="G393" s="195">
        <v>2283.6000000000004</v>
      </c>
    </row>
    <row r="394" spans="1:7">
      <c r="A394" s="194">
        <v>4</v>
      </c>
      <c r="B394" s="3">
        <v>429472</v>
      </c>
      <c r="C394" s="3" t="s">
        <v>506</v>
      </c>
      <c r="D394" s="3">
        <v>1038</v>
      </c>
      <c r="E394" s="3">
        <v>43983</v>
      </c>
      <c r="F394" s="3">
        <v>5190</v>
      </c>
      <c r="G394" s="195">
        <v>2076</v>
      </c>
    </row>
    <row r="395" spans="1:7">
      <c r="A395" s="194">
        <v>4</v>
      </c>
      <c r="B395" s="3">
        <v>601636</v>
      </c>
      <c r="C395" s="3" t="s">
        <v>508</v>
      </c>
      <c r="D395" s="3">
        <v>1295</v>
      </c>
      <c r="E395" s="3">
        <v>44105</v>
      </c>
      <c r="F395" s="3">
        <v>5180</v>
      </c>
      <c r="G395" s="195">
        <v>1942.5</v>
      </c>
    </row>
    <row r="396" spans="1:7">
      <c r="A396" s="194">
        <v>4</v>
      </c>
      <c r="B396" s="3">
        <v>304806</v>
      </c>
      <c r="C396" s="3" t="s">
        <v>505</v>
      </c>
      <c r="D396" s="3">
        <v>861</v>
      </c>
      <c r="E396" s="3">
        <v>44105</v>
      </c>
      <c r="F396" s="3">
        <v>5166</v>
      </c>
      <c r="G396" s="195">
        <v>2367.75</v>
      </c>
    </row>
    <row r="397" spans="1:7">
      <c r="A397" s="194">
        <v>1</v>
      </c>
      <c r="B397" s="3">
        <v>142979</v>
      </c>
      <c r="C397" s="3" t="s">
        <v>506</v>
      </c>
      <c r="D397" s="3">
        <v>1031</v>
      </c>
      <c r="E397" s="3">
        <v>43709</v>
      </c>
      <c r="F397" s="3">
        <v>5155</v>
      </c>
      <c r="G397" s="195">
        <v>2062</v>
      </c>
    </row>
    <row r="398" spans="1:7">
      <c r="A398" s="194">
        <v>3</v>
      </c>
      <c r="B398" s="3">
        <v>600124</v>
      </c>
      <c r="C398" s="3" t="s">
        <v>506</v>
      </c>
      <c r="D398" s="3">
        <v>1030</v>
      </c>
      <c r="E398" s="3">
        <v>43952</v>
      </c>
      <c r="F398" s="3">
        <v>5150</v>
      </c>
      <c r="G398" s="195">
        <v>2060</v>
      </c>
    </row>
    <row r="399" spans="1:7">
      <c r="A399" s="194">
        <v>1</v>
      </c>
      <c r="B399" s="3">
        <v>428131</v>
      </c>
      <c r="C399" s="3" t="s">
        <v>505</v>
      </c>
      <c r="D399" s="3">
        <v>853</v>
      </c>
      <c r="E399" s="3">
        <v>44166</v>
      </c>
      <c r="F399" s="3">
        <v>5118</v>
      </c>
      <c r="G399" s="195">
        <v>2345.75</v>
      </c>
    </row>
    <row r="400" spans="1:7">
      <c r="A400" s="194">
        <v>4</v>
      </c>
      <c r="B400" s="3">
        <v>721092</v>
      </c>
      <c r="C400" s="3" t="s">
        <v>506</v>
      </c>
      <c r="D400" s="3">
        <v>1013</v>
      </c>
      <c r="E400" s="3">
        <v>44166</v>
      </c>
      <c r="F400" s="3">
        <v>5065</v>
      </c>
      <c r="G400" s="195">
        <v>2026</v>
      </c>
    </row>
    <row r="401" spans="1:7">
      <c r="A401" s="194">
        <v>4</v>
      </c>
      <c r="B401" s="3">
        <v>640447</v>
      </c>
      <c r="C401" s="3" t="s">
        <v>506</v>
      </c>
      <c r="D401" s="3">
        <v>1006</v>
      </c>
      <c r="E401" s="3">
        <v>43983</v>
      </c>
      <c r="F401" s="3">
        <v>5030</v>
      </c>
      <c r="G401" s="195">
        <v>2012</v>
      </c>
    </row>
    <row r="402" spans="1:7">
      <c r="A402" s="194">
        <v>3</v>
      </c>
      <c r="B402" s="3">
        <v>766207</v>
      </c>
      <c r="C402" s="3" t="s">
        <v>507</v>
      </c>
      <c r="D402" s="3">
        <v>994</v>
      </c>
      <c r="E402" s="3">
        <v>43709</v>
      </c>
      <c r="F402" s="3">
        <v>4970</v>
      </c>
      <c r="G402" s="195">
        <v>2186.8000000000002</v>
      </c>
    </row>
    <row r="403" spans="1:7">
      <c r="A403" s="194">
        <v>4</v>
      </c>
      <c r="B403" s="3">
        <v>560581</v>
      </c>
      <c r="C403" s="3" t="s">
        <v>506</v>
      </c>
      <c r="D403" s="3">
        <v>991</v>
      </c>
      <c r="E403" s="3">
        <v>43983</v>
      </c>
      <c r="F403" s="3">
        <v>4955</v>
      </c>
      <c r="G403" s="195">
        <v>1982</v>
      </c>
    </row>
    <row r="404" spans="1:7">
      <c r="A404" s="194">
        <v>4</v>
      </c>
      <c r="B404" s="3">
        <v>108848</v>
      </c>
      <c r="C404" s="3" t="s">
        <v>509</v>
      </c>
      <c r="D404" s="3">
        <v>1642</v>
      </c>
      <c r="E404" s="3">
        <v>44044</v>
      </c>
      <c r="F404" s="3">
        <v>4926</v>
      </c>
      <c r="G404" s="195">
        <v>2052.5</v>
      </c>
    </row>
    <row r="405" spans="1:7">
      <c r="A405" s="194">
        <v>3</v>
      </c>
      <c r="B405" s="3">
        <v>140794</v>
      </c>
      <c r="C405" s="3" t="s">
        <v>506</v>
      </c>
      <c r="D405" s="3">
        <v>974</v>
      </c>
      <c r="E405" s="3">
        <v>43862</v>
      </c>
      <c r="F405" s="3">
        <v>4870</v>
      </c>
      <c r="G405" s="195">
        <v>1948</v>
      </c>
    </row>
    <row r="406" spans="1:7">
      <c r="A406" s="194">
        <v>5</v>
      </c>
      <c r="B406" s="3">
        <v>123431</v>
      </c>
      <c r="C406" s="3" t="s">
        <v>506</v>
      </c>
      <c r="D406" s="3">
        <v>973</v>
      </c>
      <c r="E406" s="3">
        <v>43891</v>
      </c>
      <c r="F406" s="3">
        <v>4865</v>
      </c>
      <c r="G406" s="195">
        <v>1946</v>
      </c>
    </row>
    <row r="407" spans="1:7">
      <c r="A407" s="194">
        <v>1</v>
      </c>
      <c r="B407" s="3">
        <v>156941</v>
      </c>
      <c r="C407" s="3" t="s">
        <v>505</v>
      </c>
      <c r="D407" s="3">
        <v>809</v>
      </c>
      <c r="E407" s="3">
        <v>43739</v>
      </c>
      <c r="F407" s="3">
        <v>4854</v>
      </c>
      <c r="G407" s="195">
        <v>2224.75</v>
      </c>
    </row>
    <row r="408" spans="1:7">
      <c r="A408" s="194">
        <v>4</v>
      </c>
      <c r="B408" s="3">
        <v>256775</v>
      </c>
      <c r="C408" s="3" t="s">
        <v>507</v>
      </c>
      <c r="D408" s="3">
        <v>970</v>
      </c>
      <c r="E408" s="3">
        <v>43770</v>
      </c>
      <c r="F408" s="3">
        <v>4850</v>
      </c>
      <c r="G408" s="195">
        <v>2134</v>
      </c>
    </row>
    <row r="409" spans="1:7">
      <c r="A409" s="194">
        <v>2</v>
      </c>
      <c r="B409" s="3">
        <v>666752</v>
      </c>
      <c r="C409" s="3" t="s">
        <v>505</v>
      </c>
      <c r="D409" s="3">
        <v>807</v>
      </c>
      <c r="E409" s="3">
        <v>43862</v>
      </c>
      <c r="F409" s="3">
        <v>4842</v>
      </c>
      <c r="G409" s="195">
        <v>2219.25</v>
      </c>
    </row>
    <row r="410" spans="1:7">
      <c r="A410" s="194">
        <v>3</v>
      </c>
      <c r="B410" s="3">
        <v>103112</v>
      </c>
      <c r="C410" s="3" t="s">
        <v>508</v>
      </c>
      <c r="D410" s="3">
        <v>1210</v>
      </c>
      <c r="E410" s="3">
        <v>43891</v>
      </c>
      <c r="F410" s="3">
        <v>4840</v>
      </c>
      <c r="G410" s="195">
        <v>1815</v>
      </c>
    </row>
    <row r="411" spans="1:7">
      <c r="A411" s="194">
        <v>3</v>
      </c>
      <c r="B411" s="3">
        <v>518063</v>
      </c>
      <c r="C411" s="3" t="s">
        <v>508</v>
      </c>
      <c r="D411" s="3">
        <v>1198</v>
      </c>
      <c r="E411" s="3">
        <v>43739</v>
      </c>
      <c r="F411" s="3">
        <v>4792</v>
      </c>
      <c r="G411" s="195">
        <v>1797</v>
      </c>
    </row>
    <row r="412" spans="1:7">
      <c r="A412" s="194">
        <v>2</v>
      </c>
      <c r="B412" s="3">
        <v>561318</v>
      </c>
      <c r="C412" s="3" t="s">
        <v>509</v>
      </c>
      <c r="D412" s="3">
        <v>1583</v>
      </c>
      <c r="E412" s="3">
        <v>43983</v>
      </c>
      <c r="F412" s="3">
        <v>4749</v>
      </c>
      <c r="G412" s="195">
        <v>1978.75</v>
      </c>
    </row>
    <row r="413" spans="1:7">
      <c r="A413" s="194">
        <v>1</v>
      </c>
      <c r="B413" s="3">
        <v>628954</v>
      </c>
      <c r="C413" s="3" t="s">
        <v>509</v>
      </c>
      <c r="D413" s="3">
        <v>1582</v>
      </c>
      <c r="E413" s="3">
        <v>44166</v>
      </c>
      <c r="F413" s="3">
        <v>4746</v>
      </c>
      <c r="G413" s="195">
        <v>1977.5</v>
      </c>
    </row>
    <row r="414" spans="1:7">
      <c r="A414" s="194">
        <v>1</v>
      </c>
      <c r="B414" s="3">
        <v>217808</v>
      </c>
      <c r="C414" s="3" t="s">
        <v>505</v>
      </c>
      <c r="D414" s="3">
        <v>790</v>
      </c>
      <c r="E414" s="3">
        <v>43952</v>
      </c>
      <c r="F414" s="3">
        <v>4740</v>
      </c>
      <c r="G414" s="195">
        <v>2172.5</v>
      </c>
    </row>
    <row r="415" spans="1:7">
      <c r="A415" s="194">
        <v>5</v>
      </c>
      <c r="B415" s="3">
        <v>565067</v>
      </c>
      <c r="C415" s="3" t="s">
        <v>509</v>
      </c>
      <c r="D415" s="3">
        <v>1579</v>
      </c>
      <c r="E415" s="3">
        <v>43891</v>
      </c>
      <c r="F415" s="3">
        <v>4737</v>
      </c>
      <c r="G415" s="195">
        <v>1973.75</v>
      </c>
    </row>
    <row r="416" spans="1:7">
      <c r="A416" s="194">
        <v>2</v>
      </c>
      <c r="B416" s="3">
        <v>550622</v>
      </c>
      <c r="C416" s="3" t="s">
        <v>507</v>
      </c>
      <c r="D416" s="3">
        <v>947</v>
      </c>
      <c r="E416" s="3">
        <v>43709</v>
      </c>
      <c r="F416" s="3">
        <v>4735</v>
      </c>
      <c r="G416" s="195">
        <v>2083.4</v>
      </c>
    </row>
    <row r="417" spans="1:7">
      <c r="A417" s="194">
        <v>2</v>
      </c>
      <c r="B417" s="3">
        <v>358173</v>
      </c>
      <c r="C417" s="3" t="s">
        <v>509</v>
      </c>
      <c r="D417" s="3">
        <v>1570</v>
      </c>
      <c r="E417" s="3">
        <v>43983</v>
      </c>
      <c r="F417" s="3">
        <v>4710</v>
      </c>
      <c r="G417" s="195">
        <v>1962.5</v>
      </c>
    </row>
    <row r="418" spans="1:7">
      <c r="A418" s="194">
        <v>2</v>
      </c>
      <c r="B418" s="3">
        <v>544809</v>
      </c>
      <c r="C418" s="3" t="s">
        <v>507</v>
      </c>
      <c r="D418" s="3">
        <v>941</v>
      </c>
      <c r="E418" s="3">
        <v>44136</v>
      </c>
      <c r="F418" s="3">
        <v>4705</v>
      </c>
      <c r="G418" s="195">
        <v>2070.2000000000003</v>
      </c>
    </row>
    <row r="419" spans="1:7">
      <c r="A419" s="194">
        <v>1</v>
      </c>
      <c r="B419" s="3">
        <v>819278</v>
      </c>
      <c r="C419" s="3" t="s">
        <v>508</v>
      </c>
      <c r="D419" s="3">
        <v>1174</v>
      </c>
      <c r="E419" s="3">
        <v>44044</v>
      </c>
      <c r="F419" s="3">
        <v>4696</v>
      </c>
      <c r="G419" s="195">
        <v>1761</v>
      </c>
    </row>
    <row r="420" spans="1:7">
      <c r="A420" s="194">
        <v>1</v>
      </c>
      <c r="B420" s="3">
        <v>762271</v>
      </c>
      <c r="C420" s="3" t="s">
        <v>509</v>
      </c>
      <c r="D420" s="3">
        <v>1565</v>
      </c>
      <c r="E420" s="3">
        <v>44105</v>
      </c>
      <c r="F420" s="3">
        <v>4695</v>
      </c>
      <c r="G420" s="195">
        <v>1956.25</v>
      </c>
    </row>
    <row r="421" spans="1:7">
      <c r="A421" s="194">
        <v>4</v>
      </c>
      <c r="B421" s="3">
        <v>521663</v>
      </c>
      <c r="C421" s="3" t="s">
        <v>509</v>
      </c>
      <c r="D421" s="3">
        <v>1531</v>
      </c>
      <c r="E421" s="3">
        <v>44166</v>
      </c>
      <c r="F421" s="3">
        <v>4593</v>
      </c>
      <c r="G421" s="195">
        <v>1913.75</v>
      </c>
    </row>
    <row r="422" spans="1:7">
      <c r="A422" s="194">
        <v>5</v>
      </c>
      <c r="B422" s="3">
        <v>770750</v>
      </c>
      <c r="C422" s="3" t="s">
        <v>506</v>
      </c>
      <c r="D422" s="3">
        <v>918</v>
      </c>
      <c r="E422" s="3">
        <v>43952</v>
      </c>
      <c r="F422" s="3">
        <v>4590</v>
      </c>
      <c r="G422" s="195">
        <v>1836</v>
      </c>
    </row>
    <row r="423" spans="1:7">
      <c r="A423" s="194">
        <v>1</v>
      </c>
      <c r="B423" s="3">
        <v>587301</v>
      </c>
      <c r="C423" s="3" t="s">
        <v>509</v>
      </c>
      <c r="D423" s="3">
        <v>1527</v>
      </c>
      <c r="E423" s="3">
        <v>43709</v>
      </c>
      <c r="F423" s="3">
        <v>4581</v>
      </c>
      <c r="G423" s="195">
        <v>1908.75</v>
      </c>
    </row>
    <row r="424" spans="1:7">
      <c r="A424" s="194">
        <v>5</v>
      </c>
      <c r="B424" s="3">
        <v>855262</v>
      </c>
      <c r="C424" s="3" t="s">
        <v>506</v>
      </c>
      <c r="D424" s="3">
        <v>914</v>
      </c>
      <c r="E424" s="3">
        <v>44166</v>
      </c>
      <c r="F424" s="3">
        <v>4570</v>
      </c>
      <c r="G424" s="195">
        <v>1828</v>
      </c>
    </row>
    <row r="425" spans="1:7">
      <c r="A425" s="194">
        <v>1</v>
      </c>
      <c r="B425" s="3">
        <v>144696</v>
      </c>
      <c r="C425" s="3" t="s">
        <v>506</v>
      </c>
      <c r="D425" s="3">
        <v>912</v>
      </c>
      <c r="E425" s="3">
        <v>43770</v>
      </c>
      <c r="F425" s="3">
        <v>4560</v>
      </c>
      <c r="G425" s="195">
        <v>1824</v>
      </c>
    </row>
    <row r="426" spans="1:7">
      <c r="A426" s="194">
        <v>3</v>
      </c>
      <c r="B426" s="3">
        <v>592176</v>
      </c>
      <c r="C426" s="3" t="s">
        <v>509</v>
      </c>
      <c r="D426" s="3">
        <v>1514</v>
      </c>
      <c r="E426" s="3">
        <v>43739</v>
      </c>
      <c r="F426" s="3">
        <v>4542</v>
      </c>
      <c r="G426" s="195">
        <v>1892.5</v>
      </c>
    </row>
    <row r="427" spans="1:7">
      <c r="A427" s="194">
        <v>3</v>
      </c>
      <c r="B427" s="3">
        <v>170514</v>
      </c>
      <c r="C427" s="3" t="s">
        <v>506</v>
      </c>
      <c r="D427" s="3">
        <v>905</v>
      </c>
      <c r="E427" s="3">
        <v>44105</v>
      </c>
      <c r="F427" s="3">
        <v>4525</v>
      </c>
      <c r="G427" s="195">
        <v>1810</v>
      </c>
    </row>
    <row r="428" spans="1:7">
      <c r="A428" s="194">
        <v>5</v>
      </c>
      <c r="B428" s="3">
        <v>721252</v>
      </c>
      <c r="C428" s="3" t="s">
        <v>509</v>
      </c>
      <c r="D428" s="3">
        <v>1498</v>
      </c>
      <c r="E428" s="3">
        <v>43983</v>
      </c>
      <c r="F428" s="3">
        <v>4494</v>
      </c>
      <c r="G428" s="195">
        <v>1872.5</v>
      </c>
    </row>
    <row r="429" spans="1:7">
      <c r="A429" s="194">
        <v>2</v>
      </c>
      <c r="B429" s="3">
        <v>356877</v>
      </c>
      <c r="C429" s="3" t="s">
        <v>509</v>
      </c>
      <c r="D429" s="3">
        <v>1496</v>
      </c>
      <c r="E429" s="3">
        <v>44105</v>
      </c>
      <c r="F429" s="3">
        <v>4488</v>
      </c>
      <c r="G429" s="195">
        <v>1870</v>
      </c>
    </row>
    <row r="430" spans="1:7">
      <c r="A430" s="194">
        <v>3</v>
      </c>
      <c r="B430" s="3">
        <v>138905</v>
      </c>
      <c r="C430" s="3" t="s">
        <v>509</v>
      </c>
      <c r="D430" s="3">
        <v>1491</v>
      </c>
      <c r="E430" s="3">
        <v>43891</v>
      </c>
      <c r="F430" s="3">
        <v>4473</v>
      </c>
      <c r="G430" s="195">
        <v>1863.75</v>
      </c>
    </row>
    <row r="431" spans="1:7">
      <c r="A431" s="194">
        <v>4</v>
      </c>
      <c r="B431" s="3">
        <v>137994</v>
      </c>
      <c r="C431" s="3" t="s">
        <v>508</v>
      </c>
      <c r="D431" s="3">
        <v>1117.5</v>
      </c>
      <c r="E431" s="3">
        <v>43831</v>
      </c>
      <c r="F431" s="3">
        <v>4470</v>
      </c>
      <c r="G431" s="195">
        <v>1676.25</v>
      </c>
    </row>
    <row r="432" spans="1:7">
      <c r="A432" s="194">
        <v>3</v>
      </c>
      <c r="B432" s="3">
        <v>787606</v>
      </c>
      <c r="C432" s="3" t="s">
        <v>508</v>
      </c>
      <c r="D432" s="3">
        <v>1116</v>
      </c>
      <c r="E432" s="3">
        <v>43862</v>
      </c>
      <c r="F432" s="3">
        <v>4464</v>
      </c>
      <c r="G432" s="195">
        <v>1674</v>
      </c>
    </row>
    <row r="433" spans="1:7">
      <c r="A433" s="194">
        <v>3</v>
      </c>
      <c r="B433" s="3">
        <v>858624</v>
      </c>
      <c r="C433" s="3" t="s">
        <v>507</v>
      </c>
      <c r="D433" s="3">
        <v>888</v>
      </c>
      <c r="E433" s="3">
        <v>43891</v>
      </c>
      <c r="F433" s="3">
        <v>4440</v>
      </c>
      <c r="G433" s="195">
        <v>1953.6000000000001</v>
      </c>
    </row>
    <row r="434" spans="1:7">
      <c r="A434" s="194">
        <v>5</v>
      </c>
      <c r="B434" s="3">
        <v>249663</v>
      </c>
      <c r="C434" s="3" t="s">
        <v>506</v>
      </c>
      <c r="D434" s="3">
        <v>886</v>
      </c>
      <c r="E434" s="3">
        <v>43983</v>
      </c>
      <c r="F434" s="3">
        <v>4430</v>
      </c>
      <c r="G434" s="195">
        <v>1772</v>
      </c>
    </row>
    <row r="435" spans="1:7">
      <c r="A435" s="194">
        <v>4</v>
      </c>
      <c r="B435" s="3">
        <v>455927</v>
      </c>
      <c r="C435" s="3" t="s">
        <v>505</v>
      </c>
      <c r="D435" s="3">
        <v>736</v>
      </c>
      <c r="E435" s="3">
        <v>43709</v>
      </c>
      <c r="F435" s="3">
        <v>4416</v>
      </c>
      <c r="G435" s="195">
        <v>2024</v>
      </c>
    </row>
    <row r="436" spans="1:7">
      <c r="A436" s="194">
        <v>5</v>
      </c>
      <c r="B436" s="3">
        <v>889571</v>
      </c>
      <c r="C436" s="3" t="s">
        <v>506</v>
      </c>
      <c r="D436" s="3">
        <v>883</v>
      </c>
      <c r="E436" s="3">
        <v>44044</v>
      </c>
      <c r="F436" s="3">
        <v>4415</v>
      </c>
      <c r="G436" s="195">
        <v>1766</v>
      </c>
    </row>
    <row r="437" spans="1:7">
      <c r="A437" s="194">
        <v>3</v>
      </c>
      <c r="B437" s="3">
        <v>629559</v>
      </c>
      <c r="C437" s="3" t="s">
        <v>508</v>
      </c>
      <c r="D437" s="3">
        <v>1094</v>
      </c>
      <c r="E437" s="3">
        <v>43983</v>
      </c>
      <c r="F437" s="3">
        <v>4376</v>
      </c>
      <c r="G437" s="195">
        <v>1641</v>
      </c>
    </row>
    <row r="438" spans="1:7">
      <c r="A438" s="194">
        <v>3</v>
      </c>
      <c r="B438" s="3">
        <v>103317</v>
      </c>
      <c r="C438" s="3" t="s">
        <v>506</v>
      </c>
      <c r="D438" s="3">
        <v>873</v>
      </c>
      <c r="E438" s="3">
        <v>43831</v>
      </c>
      <c r="F438" s="3">
        <v>4365</v>
      </c>
      <c r="G438" s="195">
        <v>1746</v>
      </c>
    </row>
    <row r="439" spans="1:7">
      <c r="A439" s="194">
        <v>4</v>
      </c>
      <c r="B439" s="3">
        <v>329257</v>
      </c>
      <c r="C439" s="3" t="s">
        <v>508</v>
      </c>
      <c r="D439" s="3">
        <v>1085</v>
      </c>
      <c r="E439" s="3">
        <v>44105</v>
      </c>
      <c r="F439" s="3">
        <v>4340</v>
      </c>
      <c r="G439" s="195">
        <v>1627.5</v>
      </c>
    </row>
    <row r="440" spans="1:7">
      <c r="A440" s="194">
        <v>1</v>
      </c>
      <c r="B440" s="3">
        <v>852827</v>
      </c>
      <c r="C440" s="3" t="s">
        <v>506</v>
      </c>
      <c r="D440" s="3">
        <v>861</v>
      </c>
      <c r="E440" s="3">
        <v>44105</v>
      </c>
      <c r="F440" s="3">
        <v>4305</v>
      </c>
      <c r="G440" s="195">
        <v>1722</v>
      </c>
    </row>
    <row r="441" spans="1:7">
      <c r="A441" s="194">
        <v>3</v>
      </c>
      <c r="B441" s="3">
        <v>681348</v>
      </c>
      <c r="C441" s="3" t="s">
        <v>507</v>
      </c>
      <c r="D441" s="3">
        <v>853</v>
      </c>
      <c r="E441" s="3">
        <v>44166</v>
      </c>
      <c r="F441" s="3">
        <v>4265</v>
      </c>
      <c r="G441" s="195">
        <v>1876.6000000000001</v>
      </c>
    </row>
    <row r="442" spans="1:7">
      <c r="A442" s="194">
        <v>5</v>
      </c>
      <c r="B442" s="3">
        <v>295390</v>
      </c>
      <c r="C442" s="3" t="s">
        <v>505</v>
      </c>
      <c r="D442" s="3">
        <v>704</v>
      </c>
      <c r="E442" s="3">
        <v>43739</v>
      </c>
      <c r="F442" s="3">
        <v>4224</v>
      </c>
      <c r="G442" s="195">
        <v>1936</v>
      </c>
    </row>
    <row r="443" spans="1:7">
      <c r="A443" s="194">
        <v>2</v>
      </c>
      <c r="B443" s="3">
        <v>791359</v>
      </c>
      <c r="C443" s="3" t="s">
        <v>509</v>
      </c>
      <c r="D443" s="3">
        <v>1397</v>
      </c>
      <c r="E443" s="3">
        <v>44105</v>
      </c>
      <c r="F443" s="3">
        <v>4191</v>
      </c>
      <c r="G443" s="195">
        <v>1746.25</v>
      </c>
    </row>
    <row r="444" spans="1:7">
      <c r="A444" s="194">
        <v>5</v>
      </c>
      <c r="B444" s="3">
        <v>426898</v>
      </c>
      <c r="C444" s="3" t="s">
        <v>509</v>
      </c>
      <c r="D444" s="3">
        <v>1389</v>
      </c>
      <c r="E444" s="3">
        <v>43739</v>
      </c>
      <c r="F444" s="3">
        <v>4167</v>
      </c>
      <c r="G444" s="195">
        <v>1736.25</v>
      </c>
    </row>
    <row r="445" spans="1:7">
      <c r="A445" s="194">
        <v>1</v>
      </c>
      <c r="B445" s="3">
        <v>285799</v>
      </c>
      <c r="C445" s="3" t="s">
        <v>508</v>
      </c>
      <c r="D445" s="3">
        <v>1023</v>
      </c>
      <c r="E445" s="3">
        <v>43709</v>
      </c>
      <c r="F445" s="3">
        <v>4092</v>
      </c>
      <c r="G445" s="195">
        <v>1534.5</v>
      </c>
    </row>
    <row r="446" spans="1:7">
      <c r="A446" s="194">
        <v>1</v>
      </c>
      <c r="B446" s="3">
        <v>311475</v>
      </c>
      <c r="C446" s="3" t="s">
        <v>505</v>
      </c>
      <c r="D446" s="3">
        <v>681</v>
      </c>
      <c r="E446" s="3">
        <v>43831</v>
      </c>
      <c r="F446" s="3">
        <v>4086</v>
      </c>
      <c r="G446" s="195">
        <v>1872.75</v>
      </c>
    </row>
    <row r="447" spans="1:7">
      <c r="A447" s="194">
        <v>2</v>
      </c>
      <c r="B447" s="3">
        <v>296951</v>
      </c>
      <c r="C447" s="3" t="s">
        <v>508</v>
      </c>
      <c r="D447" s="3">
        <v>1016</v>
      </c>
      <c r="E447" s="3">
        <v>43770</v>
      </c>
      <c r="F447" s="3">
        <v>4064</v>
      </c>
      <c r="G447" s="195">
        <v>1524</v>
      </c>
    </row>
    <row r="448" spans="1:7">
      <c r="A448" s="194">
        <v>2</v>
      </c>
      <c r="B448" s="3">
        <v>151130</v>
      </c>
      <c r="C448" s="3" t="s">
        <v>509</v>
      </c>
      <c r="D448" s="3">
        <v>1351.5</v>
      </c>
      <c r="E448" s="3">
        <v>43922</v>
      </c>
      <c r="F448" s="3">
        <v>4054.5</v>
      </c>
      <c r="G448" s="195">
        <v>1689.375</v>
      </c>
    </row>
    <row r="449" spans="1:7">
      <c r="A449" s="194">
        <v>4</v>
      </c>
      <c r="B449" s="3">
        <v>875012</v>
      </c>
      <c r="C449" s="3" t="s">
        <v>506</v>
      </c>
      <c r="D449" s="3">
        <v>809</v>
      </c>
      <c r="E449" s="3">
        <v>43739</v>
      </c>
      <c r="F449" s="3">
        <v>4045</v>
      </c>
      <c r="G449" s="195">
        <v>1618</v>
      </c>
    </row>
    <row r="450" spans="1:7">
      <c r="A450" s="194">
        <v>5</v>
      </c>
      <c r="B450" s="3">
        <v>411519</v>
      </c>
      <c r="C450" s="3" t="s">
        <v>508</v>
      </c>
      <c r="D450" s="3">
        <v>1010</v>
      </c>
      <c r="E450" s="3">
        <v>44105</v>
      </c>
      <c r="F450" s="3">
        <v>4040</v>
      </c>
      <c r="G450" s="195">
        <v>1515</v>
      </c>
    </row>
    <row r="451" spans="1:7">
      <c r="A451" s="194">
        <v>5</v>
      </c>
      <c r="B451" s="3">
        <v>608863</v>
      </c>
      <c r="C451" s="3" t="s">
        <v>506</v>
      </c>
      <c r="D451" s="3">
        <v>807</v>
      </c>
      <c r="E451" s="3">
        <v>43831</v>
      </c>
      <c r="F451" s="3">
        <v>4035</v>
      </c>
      <c r="G451" s="195">
        <v>1614</v>
      </c>
    </row>
    <row r="452" spans="1:7">
      <c r="A452" s="194">
        <v>2</v>
      </c>
      <c r="B452" s="3">
        <v>253981</v>
      </c>
      <c r="C452" s="3" t="s">
        <v>505</v>
      </c>
      <c r="D452" s="3">
        <v>663</v>
      </c>
      <c r="E452" s="3">
        <v>44075</v>
      </c>
      <c r="F452" s="3">
        <v>3978</v>
      </c>
      <c r="G452" s="195">
        <v>1823.25</v>
      </c>
    </row>
    <row r="453" spans="1:7">
      <c r="A453" s="194">
        <v>5</v>
      </c>
      <c r="B453" s="3">
        <v>196520</v>
      </c>
      <c r="C453" s="3" t="s">
        <v>505</v>
      </c>
      <c r="D453" s="3">
        <v>663</v>
      </c>
      <c r="E453" s="3">
        <v>43739</v>
      </c>
      <c r="F453" s="3">
        <v>3978</v>
      </c>
      <c r="G453" s="195">
        <v>1823.25</v>
      </c>
    </row>
    <row r="454" spans="1:7">
      <c r="A454" s="194">
        <v>5</v>
      </c>
      <c r="B454" s="3">
        <v>514091</v>
      </c>
      <c r="C454" s="3" t="s">
        <v>509</v>
      </c>
      <c r="D454" s="3">
        <v>1326</v>
      </c>
      <c r="E454" s="3">
        <v>43891</v>
      </c>
      <c r="F454" s="3">
        <v>3978</v>
      </c>
      <c r="G454" s="195">
        <v>1657.5</v>
      </c>
    </row>
    <row r="455" spans="1:7">
      <c r="A455" s="194">
        <v>2</v>
      </c>
      <c r="B455" s="3">
        <v>776513</v>
      </c>
      <c r="C455" s="3" t="s">
        <v>506</v>
      </c>
      <c r="D455" s="3">
        <v>795</v>
      </c>
      <c r="E455" s="3">
        <v>43891</v>
      </c>
      <c r="F455" s="3">
        <v>3975</v>
      </c>
      <c r="G455" s="195">
        <v>1590</v>
      </c>
    </row>
    <row r="456" spans="1:7">
      <c r="A456" s="194">
        <v>1</v>
      </c>
      <c r="B456" s="3">
        <v>551997</v>
      </c>
      <c r="C456" s="3" t="s">
        <v>508</v>
      </c>
      <c r="D456" s="3">
        <v>991</v>
      </c>
      <c r="E456" s="3">
        <v>43983</v>
      </c>
      <c r="F456" s="3">
        <v>3964</v>
      </c>
      <c r="G456" s="195">
        <v>1486.5</v>
      </c>
    </row>
    <row r="457" spans="1:7">
      <c r="A457" s="194">
        <v>3</v>
      </c>
      <c r="B457" s="3">
        <v>899629</v>
      </c>
      <c r="C457" s="3" t="s">
        <v>505</v>
      </c>
      <c r="D457" s="3">
        <v>660</v>
      </c>
      <c r="E457" s="3">
        <v>43709</v>
      </c>
      <c r="F457" s="3">
        <v>3960</v>
      </c>
      <c r="G457" s="195">
        <v>1815</v>
      </c>
    </row>
    <row r="458" spans="1:7">
      <c r="A458" s="194">
        <v>5</v>
      </c>
      <c r="B458" s="3">
        <v>505339</v>
      </c>
      <c r="C458" s="3" t="s">
        <v>506</v>
      </c>
      <c r="D458" s="3">
        <v>788</v>
      </c>
      <c r="E458" s="3">
        <v>43709</v>
      </c>
      <c r="F458" s="3">
        <v>3940</v>
      </c>
      <c r="G458" s="195">
        <v>1576</v>
      </c>
    </row>
    <row r="459" spans="1:7">
      <c r="A459" s="194">
        <v>3</v>
      </c>
      <c r="B459" s="3">
        <v>387444</v>
      </c>
      <c r="C459" s="3" t="s">
        <v>506</v>
      </c>
      <c r="D459" s="3">
        <v>787</v>
      </c>
      <c r="E459" s="3">
        <v>43983</v>
      </c>
      <c r="F459" s="3">
        <v>3935</v>
      </c>
      <c r="G459" s="195">
        <v>1574</v>
      </c>
    </row>
    <row r="460" spans="1:7">
      <c r="A460" s="194">
        <v>4</v>
      </c>
      <c r="B460" s="3">
        <v>573970</v>
      </c>
      <c r="C460" s="3" t="s">
        <v>505</v>
      </c>
      <c r="D460" s="3">
        <v>655</v>
      </c>
      <c r="E460" s="3">
        <v>43709</v>
      </c>
      <c r="F460" s="3">
        <v>3930</v>
      </c>
      <c r="G460" s="195">
        <v>1801.25</v>
      </c>
    </row>
    <row r="461" spans="1:7">
      <c r="A461" s="194">
        <v>5</v>
      </c>
      <c r="B461" s="3">
        <v>510933</v>
      </c>
      <c r="C461" s="3" t="s">
        <v>509</v>
      </c>
      <c r="D461" s="3">
        <v>1281</v>
      </c>
      <c r="E461" s="3">
        <v>43800</v>
      </c>
      <c r="F461" s="3">
        <v>3843</v>
      </c>
      <c r="G461" s="195">
        <v>1601.25</v>
      </c>
    </row>
    <row r="462" spans="1:7">
      <c r="A462" s="194">
        <v>2</v>
      </c>
      <c r="B462" s="3">
        <v>897372</v>
      </c>
      <c r="C462" s="3" t="s">
        <v>505</v>
      </c>
      <c r="D462" s="3">
        <v>639</v>
      </c>
      <c r="E462" s="3">
        <v>44013</v>
      </c>
      <c r="F462" s="3">
        <v>3834</v>
      </c>
      <c r="G462" s="195">
        <v>1757.25</v>
      </c>
    </row>
    <row r="463" spans="1:7">
      <c r="A463" s="194">
        <v>3</v>
      </c>
      <c r="B463" s="3">
        <v>584477</v>
      </c>
      <c r="C463" s="3" t="s">
        <v>505</v>
      </c>
      <c r="D463" s="3">
        <v>639</v>
      </c>
      <c r="E463" s="3">
        <v>44136</v>
      </c>
      <c r="F463" s="3">
        <v>3834</v>
      </c>
      <c r="G463" s="195">
        <v>1757.25</v>
      </c>
    </row>
    <row r="464" spans="1:7">
      <c r="A464" s="194">
        <v>5</v>
      </c>
      <c r="B464" s="3">
        <v>238791</v>
      </c>
      <c r="C464" s="3" t="s">
        <v>506</v>
      </c>
      <c r="D464" s="3">
        <v>766</v>
      </c>
      <c r="E464" s="3">
        <v>43739</v>
      </c>
      <c r="F464" s="3">
        <v>3830</v>
      </c>
      <c r="G464" s="195">
        <v>1532</v>
      </c>
    </row>
    <row r="465" spans="1:7">
      <c r="A465" s="194">
        <v>3</v>
      </c>
      <c r="B465" s="3">
        <v>751314</v>
      </c>
      <c r="C465" s="3" t="s">
        <v>505</v>
      </c>
      <c r="D465" s="3">
        <v>635</v>
      </c>
      <c r="E465" s="3">
        <v>44166</v>
      </c>
      <c r="F465" s="3">
        <v>3810</v>
      </c>
      <c r="G465" s="195">
        <v>1746.25</v>
      </c>
    </row>
    <row r="466" spans="1:7">
      <c r="A466" s="194">
        <v>4</v>
      </c>
      <c r="B466" s="3">
        <v>156617</v>
      </c>
      <c r="C466" s="3" t="s">
        <v>510</v>
      </c>
      <c r="D466" s="3">
        <v>3802.5</v>
      </c>
      <c r="E466" s="3">
        <v>43922</v>
      </c>
      <c r="F466" s="3">
        <v>3802.5</v>
      </c>
      <c r="G466" s="195">
        <v>1901.25</v>
      </c>
    </row>
    <row r="467" spans="1:7">
      <c r="A467" s="194">
        <v>3</v>
      </c>
      <c r="B467" s="3">
        <v>646205</v>
      </c>
      <c r="C467" s="3" t="s">
        <v>509</v>
      </c>
      <c r="D467" s="3">
        <v>1265</v>
      </c>
      <c r="E467" s="3">
        <v>43770</v>
      </c>
      <c r="F467" s="3">
        <v>3795</v>
      </c>
      <c r="G467" s="195">
        <v>1581.25</v>
      </c>
    </row>
    <row r="468" spans="1:7">
      <c r="A468" s="194">
        <v>2</v>
      </c>
      <c r="B468" s="3">
        <v>320688</v>
      </c>
      <c r="C468" s="3" t="s">
        <v>506</v>
      </c>
      <c r="D468" s="3">
        <v>747</v>
      </c>
      <c r="E468" s="3">
        <v>44075</v>
      </c>
      <c r="F468" s="3">
        <v>3735</v>
      </c>
      <c r="G468" s="195">
        <v>1494</v>
      </c>
    </row>
    <row r="469" spans="1:7">
      <c r="A469" s="194">
        <v>3</v>
      </c>
      <c r="B469" s="3">
        <v>871331</v>
      </c>
      <c r="C469" s="3" t="s">
        <v>509</v>
      </c>
      <c r="D469" s="3">
        <v>1233</v>
      </c>
      <c r="E469" s="3">
        <v>44166</v>
      </c>
      <c r="F469" s="3">
        <v>3699</v>
      </c>
      <c r="G469" s="195">
        <v>1541.25</v>
      </c>
    </row>
    <row r="470" spans="1:7">
      <c r="A470" s="194">
        <v>3</v>
      </c>
      <c r="B470" s="3">
        <v>602911</v>
      </c>
      <c r="C470" s="3" t="s">
        <v>508</v>
      </c>
      <c r="D470" s="3">
        <v>923</v>
      </c>
      <c r="E470" s="3">
        <v>43891</v>
      </c>
      <c r="F470" s="3">
        <v>3692</v>
      </c>
      <c r="G470" s="195">
        <v>1384.5</v>
      </c>
    </row>
    <row r="471" spans="1:7">
      <c r="A471" s="194">
        <v>2</v>
      </c>
      <c r="B471" s="3">
        <v>699845</v>
      </c>
      <c r="C471" s="3" t="s">
        <v>509</v>
      </c>
      <c r="D471" s="3">
        <v>1227</v>
      </c>
      <c r="E471" s="3">
        <v>44105</v>
      </c>
      <c r="F471" s="3">
        <v>3681</v>
      </c>
      <c r="G471" s="195">
        <v>1533.75</v>
      </c>
    </row>
    <row r="472" spans="1:7">
      <c r="A472" s="194">
        <v>2</v>
      </c>
      <c r="B472" s="3">
        <v>425472</v>
      </c>
      <c r="C472" s="3" t="s">
        <v>509</v>
      </c>
      <c r="D472" s="3">
        <v>1221</v>
      </c>
      <c r="E472" s="3">
        <v>43739</v>
      </c>
      <c r="F472" s="3">
        <v>3663</v>
      </c>
      <c r="G472" s="195">
        <v>1526.25</v>
      </c>
    </row>
    <row r="473" spans="1:7">
      <c r="A473" s="194">
        <v>1</v>
      </c>
      <c r="B473" s="3">
        <v>741049</v>
      </c>
      <c r="C473" s="3" t="s">
        <v>505</v>
      </c>
      <c r="D473" s="3">
        <v>609</v>
      </c>
      <c r="E473" s="3">
        <v>44044</v>
      </c>
      <c r="F473" s="3">
        <v>3654</v>
      </c>
      <c r="G473" s="195">
        <v>1674.75</v>
      </c>
    </row>
    <row r="474" spans="1:7">
      <c r="A474" s="194">
        <v>1</v>
      </c>
      <c r="B474" s="3">
        <v>349645</v>
      </c>
      <c r="C474" s="3" t="s">
        <v>505</v>
      </c>
      <c r="D474" s="3">
        <v>606</v>
      </c>
      <c r="E474" s="3">
        <v>43922</v>
      </c>
      <c r="F474" s="3">
        <v>3636</v>
      </c>
      <c r="G474" s="195">
        <v>1666.5</v>
      </c>
    </row>
    <row r="475" spans="1:7">
      <c r="A475" s="194">
        <v>3</v>
      </c>
      <c r="B475" s="3">
        <v>698573</v>
      </c>
      <c r="C475" s="3" t="s">
        <v>507</v>
      </c>
      <c r="D475" s="3">
        <v>727</v>
      </c>
      <c r="E475" s="3">
        <v>43739</v>
      </c>
      <c r="F475" s="3">
        <v>3635</v>
      </c>
      <c r="G475" s="195">
        <v>1599.4</v>
      </c>
    </row>
    <row r="476" spans="1:7">
      <c r="A476" s="194">
        <v>4</v>
      </c>
      <c r="B476" s="3">
        <v>885205</v>
      </c>
      <c r="C476" s="3" t="s">
        <v>506</v>
      </c>
      <c r="D476" s="3">
        <v>727</v>
      </c>
      <c r="E476" s="3">
        <v>43983</v>
      </c>
      <c r="F476" s="3">
        <v>3635</v>
      </c>
      <c r="G476" s="195">
        <v>1454</v>
      </c>
    </row>
    <row r="477" spans="1:7">
      <c r="A477" s="194">
        <v>5</v>
      </c>
      <c r="B477" s="3">
        <v>758323</v>
      </c>
      <c r="C477" s="3" t="s">
        <v>506</v>
      </c>
      <c r="D477" s="3">
        <v>727</v>
      </c>
      <c r="E477" s="3">
        <v>43739</v>
      </c>
      <c r="F477" s="3">
        <v>3635</v>
      </c>
      <c r="G477" s="195">
        <v>1454</v>
      </c>
    </row>
    <row r="478" spans="1:7">
      <c r="A478" s="194">
        <v>4</v>
      </c>
      <c r="B478" s="3">
        <v>249563</v>
      </c>
      <c r="C478" s="3" t="s">
        <v>508</v>
      </c>
      <c r="D478" s="3">
        <v>908</v>
      </c>
      <c r="E478" s="3">
        <v>43800</v>
      </c>
      <c r="F478" s="3">
        <v>3632</v>
      </c>
      <c r="G478" s="195">
        <v>1362</v>
      </c>
    </row>
    <row r="479" spans="1:7">
      <c r="A479" s="194">
        <v>4</v>
      </c>
      <c r="B479" s="3">
        <v>746705</v>
      </c>
      <c r="C479" s="3" t="s">
        <v>510</v>
      </c>
      <c r="D479" s="3">
        <v>3627</v>
      </c>
      <c r="E479" s="3">
        <v>44013</v>
      </c>
      <c r="F479" s="3">
        <v>3627</v>
      </c>
      <c r="G479" s="195">
        <v>1813.5</v>
      </c>
    </row>
    <row r="480" spans="1:7">
      <c r="A480" s="194">
        <v>1</v>
      </c>
      <c r="B480" s="3">
        <v>135967</v>
      </c>
      <c r="C480" s="3" t="s">
        <v>505</v>
      </c>
      <c r="D480" s="3">
        <v>604</v>
      </c>
      <c r="E480" s="3">
        <v>43983</v>
      </c>
      <c r="F480" s="3">
        <v>3624</v>
      </c>
      <c r="G480" s="195">
        <v>1661</v>
      </c>
    </row>
    <row r="481" spans="1:7">
      <c r="A481" s="194">
        <v>4</v>
      </c>
      <c r="B481" s="3">
        <v>170761</v>
      </c>
      <c r="C481" s="3" t="s">
        <v>506</v>
      </c>
      <c r="D481" s="3">
        <v>723</v>
      </c>
      <c r="E481" s="3">
        <v>43922</v>
      </c>
      <c r="F481" s="3">
        <v>3615</v>
      </c>
      <c r="G481" s="195">
        <v>1446</v>
      </c>
    </row>
    <row r="482" spans="1:7">
      <c r="A482" s="194">
        <v>4</v>
      </c>
      <c r="B482" s="3">
        <v>192398</v>
      </c>
      <c r="C482" s="3" t="s">
        <v>505</v>
      </c>
      <c r="D482" s="3">
        <v>602</v>
      </c>
      <c r="E482" s="3">
        <v>43983</v>
      </c>
      <c r="F482" s="3">
        <v>3612</v>
      </c>
      <c r="G482" s="195">
        <v>1655.5</v>
      </c>
    </row>
    <row r="483" spans="1:7">
      <c r="A483" s="194">
        <v>1</v>
      </c>
      <c r="B483" s="3">
        <v>856865</v>
      </c>
      <c r="C483" s="3" t="s">
        <v>505</v>
      </c>
      <c r="D483" s="3">
        <v>598</v>
      </c>
      <c r="E483" s="3">
        <v>43891</v>
      </c>
      <c r="F483" s="3">
        <v>3588</v>
      </c>
      <c r="G483" s="195">
        <v>1644.5</v>
      </c>
    </row>
    <row r="484" spans="1:7">
      <c r="A484" s="194">
        <v>5</v>
      </c>
      <c r="B484" s="3">
        <v>103888</v>
      </c>
      <c r="C484" s="3" t="s">
        <v>507</v>
      </c>
      <c r="D484" s="3">
        <v>711</v>
      </c>
      <c r="E484" s="3">
        <v>44166</v>
      </c>
      <c r="F484" s="3">
        <v>3555</v>
      </c>
      <c r="G484" s="195">
        <v>1564.2</v>
      </c>
    </row>
    <row r="485" spans="1:7">
      <c r="A485" s="194">
        <v>3</v>
      </c>
      <c r="B485" s="3">
        <v>361699</v>
      </c>
      <c r="C485" s="3" t="s">
        <v>508</v>
      </c>
      <c r="D485" s="3">
        <v>888</v>
      </c>
      <c r="E485" s="3">
        <v>43983</v>
      </c>
      <c r="F485" s="3">
        <v>3552</v>
      </c>
      <c r="G485" s="195">
        <v>1332</v>
      </c>
    </row>
    <row r="486" spans="1:7">
      <c r="A486" s="194">
        <v>3</v>
      </c>
      <c r="B486" s="3">
        <v>847678</v>
      </c>
      <c r="C486" s="3" t="s">
        <v>508</v>
      </c>
      <c r="D486" s="3">
        <v>887</v>
      </c>
      <c r="E486" s="3">
        <v>43800</v>
      </c>
      <c r="F486" s="3">
        <v>3548</v>
      </c>
      <c r="G486" s="195">
        <v>1330.5</v>
      </c>
    </row>
    <row r="487" spans="1:7">
      <c r="A487" s="194">
        <v>4</v>
      </c>
      <c r="B487" s="3">
        <v>533938</v>
      </c>
      <c r="C487" s="3" t="s">
        <v>508</v>
      </c>
      <c r="D487" s="3">
        <v>886</v>
      </c>
      <c r="E487" s="3">
        <v>43983</v>
      </c>
      <c r="F487" s="3">
        <v>3544</v>
      </c>
      <c r="G487" s="195">
        <v>1329</v>
      </c>
    </row>
    <row r="488" spans="1:7">
      <c r="A488" s="194">
        <v>4</v>
      </c>
      <c r="B488" s="3">
        <v>137921</v>
      </c>
      <c r="C488" s="3" t="s">
        <v>507</v>
      </c>
      <c r="D488" s="3">
        <v>708</v>
      </c>
      <c r="E488" s="3">
        <v>43983</v>
      </c>
      <c r="F488" s="3">
        <v>3540</v>
      </c>
      <c r="G488" s="195">
        <v>1557.6000000000001</v>
      </c>
    </row>
    <row r="489" spans="1:7">
      <c r="A489" s="194">
        <v>3</v>
      </c>
      <c r="B489" s="3">
        <v>267107</v>
      </c>
      <c r="C489" s="3" t="s">
        <v>507</v>
      </c>
      <c r="D489" s="3">
        <v>707</v>
      </c>
      <c r="E489" s="3">
        <v>44075</v>
      </c>
      <c r="F489" s="3">
        <v>3535</v>
      </c>
      <c r="G489" s="195">
        <v>1555.4</v>
      </c>
    </row>
    <row r="490" spans="1:7">
      <c r="A490" s="194">
        <v>3</v>
      </c>
      <c r="B490" s="3">
        <v>629523</v>
      </c>
      <c r="C490" s="3" t="s">
        <v>505</v>
      </c>
      <c r="D490" s="3">
        <v>588</v>
      </c>
      <c r="E490" s="3">
        <v>43800</v>
      </c>
      <c r="F490" s="3">
        <v>3528</v>
      </c>
      <c r="G490" s="195">
        <v>1617</v>
      </c>
    </row>
    <row r="491" spans="1:7">
      <c r="A491" s="194">
        <v>2</v>
      </c>
      <c r="B491" s="3">
        <v>330030</v>
      </c>
      <c r="C491" s="3" t="s">
        <v>509</v>
      </c>
      <c r="D491" s="3">
        <v>1175</v>
      </c>
      <c r="E491" s="3">
        <v>44105</v>
      </c>
      <c r="F491" s="3">
        <v>3525</v>
      </c>
      <c r="G491" s="195">
        <v>1468.75</v>
      </c>
    </row>
    <row r="492" spans="1:7">
      <c r="A492" s="194">
        <v>1</v>
      </c>
      <c r="B492" s="3">
        <v>567484</v>
      </c>
      <c r="C492" s="3" t="s">
        <v>506</v>
      </c>
      <c r="D492" s="3">
        <v>704</v>
      </c>
      <c r="E492" s="3">
        <v>43739</v>
      </c>
      <c r="F492" s="3">
        <v>3520</v>
      </c>
      <c r="G492" s="195">
        <v>1408</v>
      </c>
    </row>
    <row r="493" spans="1:7">
      <c r="A493" s="194">
        <v>5</v>
      </c>
      <c r="B493" s="3">
        <v>778322</v>
      </c>
      <c r="C493" s="3" t="s">
        <v>506</v>
      </c>
      <c r="D493" s="3">
        <v>700</v>
      </c>
      <c r="E493" s="3">
        <v>44136</v>
      </c>
      <c r="F493" s="3">
        <v>3500</v>
      </c>
      <c r="G493" s="195">
        <v>1400</v>
      </c>
    </row>
    <row r="494" spans="1:7">
      <c r="A494" s="194">
        <v>4</v>
      </c>
      <c r="B494" s="3">
        <v>666684</v>
      </c>
      <c r="C494" s="3" t="s">
        <v>509</v>
      </c>
      <c r="D494" s="3">
        <v>1153</v>
      </c>
      <c r="E494" s="3">
        <v>44105</v>
      </c>
      <c r="F494" s="3">
        <v>3459</v>
      </c>
      <c r="G494" s="195">
        <v>1441.25</v>
      </c>
    </row>
    <row r="495" spans="1:7">
      <c r="A495" s="194">
        <v>3</v>
      </c>
      <c r="B495" s="3">
        <v>578401</v>
      </c>
      <c r="C495" s="3" t="s">
        <v>506</v>
      </c>
      <c r="D495" s="3">
        <v>689</v>
      </c>
      <c r="E495" s="3">
        <v>43983</v>
      </c>
      <c r="F495" s="3">
        <v>3445</v>
      </c>
      <c r="G495" s="195">
        <v>1378</v>
      </c>
    </row>
    <row r="496" spans="1:7">
      <c r="A496" s="194">
        <v>2</v>
      </c>
      <c r="B496" s="3">
        <v>609418</v>
      </c>
      <c r="C496" s="3" t="s">
        <v>505</v>
      </c>
      <c r="D496" s="3">
        <v>567</v>
      </c>
      <c r="E496" s="3">
        <v>44075</v>
      </c>
      <c r="F496" s="3">
        <v>3402</v>
      </c>
      <c r="G496" s="195">
        <v>1559.25</v>
      </c>
    </row>
    <row r="497" spans="1:7">
      <c r="A497" s="194">
        <v>5</v>
      </c>
      <c r="B497" s="3">
        <v>456841</v>
      </c>
      <c r="C497" s="3" t="s">
        <v>506</v>
      </c>
      <c r="D497" s="3">
        <v>678</v>
      </c>
      <c r="E497" s="3">
        <v>44044</v>
      </c>
      <c r="F497" s="3">
        <v>3390</v>
      </c>
      <c r="G497" s="195">
        <v>1356</v>
      </c>
    </row>
    <row r="498" spans="1:7">
      <c r="A498" s="194">
        <v>5</v>
      </c>
      <c r="B498" s="3">
        <v>441711</v>
      </c>
      <c r="C498" s="3" t="s">
        <v>509</v>
      </c>
      <c r="D498" s="3">
        <v>1123</v>
      </c>
      <c r="E498" s="3">
        <v>43770</v>
      </c>
      <c r="F498" s="3">
        <v>3369</v>
      </c>
      <c r="G498" s="195">
        <v>1403.75</v>
      </c>
    </row>
    <row r="499" spans="1:7">
      <c r="A499" s="194">
        <v>1</v>
      </c>
      <c r="B499" s="3">
        <v>707858</v>
      </c>
      <c r="C499" s="3" t="s">
        <v>506</v>
      </c>
      <c r="D499" s="3">
        <v>671</v>
      </c>
      <c r="E499" s="3">
        <v>43739</v>
      </c>
      <c r="F499" s="3">
        <v>3355</v>
      </c>
      <c r="G499" s="195">
        <v>1342</v>
      </c>
    </row>
    <row r="500" spans="1:7">
      <c r="A500" s="194">
        <v>4</v>
      </c>
      <c r="B500" s="3">
        <v>397008</v>
      </c>
      <c r="C500" s="3" t="s">
        <v>507</v>
      </c>
      <c r="D500" s="3">
        <v>671</v>
      </c>
      <c r="E500" s="3">
        <v>43739</v>
      </c>
      <c r="F500" s="3">
        <v>3355</v>
      </c>
      <c r="G500" s="195">
        <v>1476.2</v>
      </c>
    </row>
    <row r="501" spans="1:7">
      <c r="A501" s="194">
        <v>1</v>
      </c>
      <c r="B501" s="3">
        <v>197116</v>
      </c>
      <c r="C501" s="3" t="s">
        <v>505</v>
      </c>
      <c r="D501" s="3">
        <v>555</v>
      </c>
      <c r="E501" s="3">
        <v>43831</v>
      </c>
      <c r="F501" s="3">
        <v>3330</v>
      </c>
      <c r="G501" s="195">
        <v>1526.25</v>
      </c>
    </row>
    <row r="502" spans="1:7">
      <c r="A502" s="194">
        <v>1</v>
      </c>
      <c r="B502" s="3">
        <v>355733</v>
      </c>
      <c r="C502" s="3" t="s">
        <v>508</v>
      </c>
      <c r="D502" s="3">
        <v>831</v>
      </c>
      <c r="E502" s="3">
        <v>43952</v>
      </c>
      <c r="F502" s="3">
        <v>3324</v>
      </c>
      <c r="G502" s="195">
        <v>1246.5</v>
      </c>
    </row>
    <row r="503" spans="1:7">
      <c r="A503" s="194">
        <v>5</v>
      </c>
      <c r="B503" s="3">
        <v>847203</v>
      </c>
      <c r="C503" s="3" t="s">
        <v>506</v>
      </c>
      <c r="D503" s="3">
        <v>662</v>
      </c>
      <c r="E503" s="3">
        <v>43983</v>
      </c>
      <c r="F503" s="3">
        <v>3310</v>
      </c>
      <c r="G503" s="195">
        <v>1324</v>
      </c>
    </row>
    <row r="504" spans="1:7">
      <c r="A504" s="194">
        <v>3</v>
      </c>
      <c r="B504" s="3">
        <v>433084</v>
      </c>
      <c r="C504" s="3" t="s">
        <v>505</v>
      </c>
      <c r="D504" s="3">
        <v>547</v>
      </c>
      <c r="E504" s="3">
        <v>44136</v>
      </c>
      <c r="F504" s="3">
        <v>3282</v>
      </c>
      <c r="G504" s="195">
        <v>1504.25</v>
      </c>
    </row>
    <row r="505" spans="1:7">
      <c r="A505" s="194">
        <v>4</v>
      </c>
      <c r="B505" s="3">
        <v>865204</v>
      </c>
      <c r="C505" s="3" t="s">
        <v>508</v>
      </c>
      <c r="D505" s="3">
        <v>819</v>
      </c>
      <c r="E505" s="3">
        <v>44013</v>
      </c>
      <c r="F505" s="3">
        <v>3276</v>
      </c>
      <c r="G505" s="195">
        <v>1228.5</v>
      </c>
    </row>
    <row r="506" spans="1:7">
      <c r="A506" s="194">
        <v>5</v>
      </c>
      <c r="B506" s="3">
        <v>214845</v>
      </c>
      <c r="C506" s="3" t="s">
        <v>505</v>
      </c>
      <c r="D506" s="3">
        <v>544</v>
      </c>
      <c r="E506" s="3">
        <v>43800</v>
      </c>
      <c r="F506" s="3">
        <v>3264</v>
      </c>
      <c r="G506" s="195">
        <v>1496</v>
      </c>
    </row>
    <row r="507" spans="1:7">
      <c r="A507" s="194">
        <v>5</v>
      </c>
      <c r="B507" s="3">
        <v>372739</v>
      </c>
      <c r="C507" s="3" t="s">
        <v>508</v>
      </c>
      <c r="D507" s="3">
        <v>801</v>
      </c>
      <c r="E507" s="3">
        <v>44013</v>
      </c>
      <c r="F507" s="3">
        <v>3204</v>
      </c>
      <c r="G507" s="195">
        <v>1201.5</v>
      </c>
    </row>
    <row r="508" spans="1:7">
      <c r="A508" s="194">
        <v>3</v>
      </c>
      <c r="B508" s="3">
        <v>480891</v>
      </c>
      <c r="C508" s="3" t="s">
        <v>507</v>
      </c>
      <c r="D508" s="3">
        <v>635</v>
      </c>
      <c r="E508" s="3">
        <v>44166</v>
      </c>
      <c r="F508" s="3">
        <v>3175</v>
      </c>
      <c r="G508" s="195">
        <v>1397</v>
      </c>
    </row>
    <row r="509" spans="1:7">
      <c r="A509" s="194">
        <v>5</v>
      </c>
      <c r="B509" s="3">
        <v>242657</v>
      </c>
      <c r="C509" s="3" t="s">
        <v>508</v>
      </c>
      <c r="D509" s="3">
        <v>792</v>
      </c>
      <c r="E509" s="3">
        <v>43891</v>
      </c>
      <c r="F509" s="3">
        <v>3168</v>
      </c>
      <c r="G509" s="195">
        <v>1188</v>
      </c>
    </row>
    <row r="510" spans="1:7">
      <c r="A510" s="194">
        <v>2</v>
      </c>
      <c r="B510" s="3">
        <v>183779</v>
      </c>
      <c r="C510" s="3" t="s">
        <v>507</v>
      </c>
      <c r="D510" s="3">
        <v>615</v>
      </c>
      <c r="E510" s="3">
        <v>44166</v>
      </c>
      <c r="F510" s="3">
        <v>3075</v>
      </c>
      <c r="G510" s="195">
        <v>1353</v>
      </c>
    </row>
    <row r="511" spans="1:7">
      <c r="A511" s="194">
        <v>3</v>
      </c>
      <c r="B511" s="3">
        <v>576749</v>
      </c>
      <c r="C511" s="3" t="s">
        <v>508</v>
      </c>
      <c r="D511" s="3">
        <v>766</v>
      </c>
      <c r="E511" s="3">
        <v>43739</v>
      </c>
      <c r="F511" s="3">
        <v>3064</v>
      </c>
      <c r="G511" s="195">
        <v>1149</v>
      </c>
    </row>
    <row r="512" spans="1:7">
      <c r="A512" s="194">
        <v>4</v>
      </c>
      <c r="B512" s="3">
        <v>581762</v>
      </c>
      <c r="C512" s="3" t="s">
        <v>505</v>
      </c>
      <c r="D512" s="3">
        <v>510</v>
      </c>
      <c r="E512" s="3">
        <v>43922</v>
      </c>
      <c r="F512" s="3">
        <v>3060</v>
      </c>
      <c r="G512" s="195">
        <v>1402.5</v>
      </c>
    </row>
    <row r="513" spans="1:7">
      <c r="A513" s="194">
        <v>5</v>
      </c>
      <c r="B513" s="3">
        <v>208723</v>
      </c>
      <c r="C513" s="3" t="s">
        <v>509</v>
      </c>
      <c r="D513" s="3">
        <v>1010</v>
      </c>
      <c r="E513" s="3">
        <v>44105</v>
      </c>
      <c r="F513" s="3">
        <v>3030</v>
      </c>
      <c r="G513" s="195">
        <v>1262.5</v>
      </c>
    </row>
    <row r="514" spans="1:7">
      <c r="A514" s="194">
        <v>5</v>
      </c>
      <c r="B514" s="3">
        <v>808356</v>
      </c>
      <c r="C514" s="3" t="s">
        <v>509</v>
      </c>
      <c r="D514" s="3">
        <v>1005</v>
      </c>
      <c r="E514" s="3">
        <v>43709</v>
      </c>
      <c r="F514" s="3">
        <v>3015</v>
      </c>
      <c r="G514" s="195">
        <v>1256.25</v>
      </c>
    </row>
    <row r="515" spans="1:7">
      <c r="A515" s="194">
        <v>2</v>
      </c>
      <c r="B515" s="3">
        <v>369627</v>
      </c>
      <c r="C515" s="3" t="s">
        <v>506</v>
      </c>
      <c r="D515" s="3">
        <v>602</v>
      </c>
      <c r="E515" s="3">
        <v>43983</v>
      </c>
      <c r="F515" s="3">
        <v>3010</v>
      </c>
      <c r="G515" s="195">
        <v>1204</v>
      </c>
    </row>
    <row r="516" spans="1:7">
      <c r="A516" s="194">
        <v>1</v>
      </c>
      <c r="B516" s="3">
        <v>600167</v>
      </c>
      <c r="C516" s="3" t="s">
        <v>505</v>
      </c>
      <c r="D516" s="3">
        <v>500</v>
      </c>
      <c r="E516" s="3">
        <v>43891</v>
      </c>
      <c r="F516" s="3">
        <v>3000</v>
      </c>
      <c r="G516" s="195">
        <v>1375</v>
      </c>
    </row>
    <row r="517" spans="1:7">
      <c r="A517" s="194">
        <v>3</v>
      </c>
      <c r="B517" s="3">
        <v>295198</v>
      </c>
      <c r="C517" s="3" t="s">
        <v>510</v>
      </c>
      <c r="D517" s="3">
        <v>2996</v>
      </c>
      <c r="E517" s="3">
        <v>43739</v>
      </c>
      <c r="F517" s="3">
        <v>2996</v>
      </c>
      <c r="G517" s="195">
        <v>1498</v>
      </c>
    </row>
    <row r="518" spans="1:7">
      <c r="A518" s="194">
        <v>5</v>
      </c>
      <c r="B518" s="3">
        <v>644686</v>
      </c>
      <c r="C518" s="3" t="s">
        <v>510</v>
      </c>
      <c r="D518" s="3">
        <v>2992</v>
      </c>
      <c r="E518" s="3">
        <v>43739</v>
      </c>
      <c r="F518" s="3">
        <v>2992</v>
      </c>
      <c r="G518" s="195">
        <v>1496</v>
      </c>
    </row>
    <row r="519" spans="1:7">
      <c r="A519" s="194">
        <v>1</v>
      </c>
      <c r="B519" s="3">
        <v>178855</v>
      </c>
      <c r="C519" s="3" t="s">
        <v>508</v>
      </c>
      <c r="D519" s="3">
        <v>742.5</v>
      </c>
      <c r="E519" s="3">
        <v>43922</v>
      </c>
      <c r="F519" s="3">
        <v>2970</v>
      </c>
      <c r="G519" s="195">
        <v>1113.75</v>
      </c>
    </row>
    <row r="520" spans="1:7">
      <c r="A520" s="194">
        <v>1</v>
      </c>
      <c r="B520" s="3">
        <v>305275</v>
      </c>
      <c r="C520" s="3" t="s">
        <v>509</v>
      </c>
      <c r="D520" s="3">
        <v>986</v>
      </c>
      <c r="E520" s="3">
        <v>44105</v>
      </c>
      <c r="F520" s="3">
        <v>2958</v>
      </c>
      <c r="G520" s="195">
        <v>1232.5</v>
      </c>
    </row>
    <row r="521" spans="1:7">
      <c r="A521" s="194">
        <v>2</v>
      </c>
      <c r="B521" s="3">
        <v>354480</v>
      </c>
      <c r="C521" s="3" t="s">
        <v>509</v>
      </c>
      <c r="D521" s="3">
        <v>986</v>
      </c>
      <c r="E521" s="3">
        <v>44075</v>
      </c>
      <c r="F521" s="3">
        <v>2958</v>
      </c>
      <c r="G521" s="195">
        <v>1232.5</v>
      </c>
    </row>
    <row r="522" spans="1:7">
      <c r="A522" s="194">
        <v>4</v>
      </c>
      <c r="B522" s="3">
        <v>197639</v>
      </c>
      <c r="C522" s="3" t="s">
        <v>506</v>
      </c>
      <c r="D522" s="3">
        <v>591</v>
      </c>
      <c r="E522" s="3">
        <v>43952</v>
      </c>
      <c r="F522" s="3">
        <v>2955</v>
      </c>
      <c r="G522" s="195">
        <v>1182</v>
      </c>
    </row>
    <row r="523" spans="1:7">
      <c r="A523" s="194">
        <v>5</v>
      </c>
      <c r="B523" s="3">
        <v>421883</v>
      </c>
      <c r="C523" s="3" t="s">
        <v>508</v>
      </c>
      <c r="D523" s="3">
        <v>727</v>
      </c>
      <c r="E523" s="3">
        <v>43862</v>
      </c>
      <c r="F523" s="3">
        <v>2908</v>
      </c>
      <c r="G523" s="195">
        <v>1090.5</v>
      </c>
    </row>
    <row r="524" spans="1:7">
      <c r="A524" s="194">
        <v>4</v>
      </c>
      <c r="B524" s="3">
        <v>884057</v>
      </c>
      <c r="C524" s="3" t="s">
        <v>507</v>
      </c>
      <c r="D524" s="3">
        <v>579</v>
      </c>
      <c r="E524" s="3">
        <v>43831</v>
      </c>
      <c r="F524" s="3">
        <v>2895</v>
      </c>
      <c r="G524" s="195">
        <v>1273.8000000000002</v>
      </c>
    </row>
    <row r="525" spans="1:7">
      <c r="A525" s="194">
        <v>5</v>
      </c>
      <c r="B525" s="3">
        <v>619210</v>
      </c>
      <c r="C525" s="3" t="s">
        <v>509</v>
      </c>
      <c r="D525" s="3">
        <v>959</v>
      </c>
      <c r="E525" s="3">
        <v>43862</v>
      </c>
      <c r="F525" s="3">
        <v>2877</v>
      </c>
      <c r="G525" s="195">
        <v>1198.75</v>
      </c>
    </row>
    <row r="526" spans="1:7">
      <c r="A526" s="194">
        <v>4</v>
      </c>
      <c r="B526" s="3">
        <v>868182</v>
      </c>
      <c r="C526" s="3" t="s">
        <v>506</v>
      </c>
      <c r="D526" s="3">
        <v>571</v>
      </c>
      <c r="E526" s="3">
        <v>44013</v>
      </c>
      <c r="F526" s="3">
        <v>2855</v>
      </c>
      <c r="G526" s="195">
        <v>1142</v>
      </c>
    </row>
    <row r="527" spans="1:7">
      <c r="A527" s="194">
        <v>3</v>
      </c>
      <c r="B527" s="3">
        <v>873031</v>
      </c>
      <c r="C527" s="3" t="s">
        <v>510</v>
      </c>
      <c r="D527" s="3">
        <v>2851</v>
      </c>
      <c r="E527" s="3">
        <v>43739</v>
      </c>
      <c r="F527" s="3">
        <v>2851</v>
      </c>
      <c r="G527" s="195">
        <v>1425.5</v>
      </c>
    </row>
    <row r="528" spans="1:7">
      <c r="A528" s="194">
        <v>2</v>
      </c>
      <c r="B528" s="3">
        <v>885051</v>
      </c>
      <c r="C528" s="3" t="s">
        <v>505</v>
      </c>
      <c r="D528" s="3">
        <v>472</v>
      </c>
      <c r="E528" s="3">
        <v>44105</v>
      </c>
      <c r="F528" s="3">
        <v>2832</v>
      </c>
      <c r="G528" s="195">
        <v>1298</v>
      </c>
    </row>
    <row r="529" spans="1:7">
      <c r="A529" s="194">
        <v>1</v>
      </c>
      <c r="B529" s="3">
        <v>540473</v>
      </c>
      <c r="C529" s="3" t="s">
        <v>509</v>
      </c>
      <c r="D529" s="3">
        <v>943.5</v>
      </c>
      <c r="E529" s="3">
        <v>43922</v>
      </c>
      <c r="F529" s="3">
        <v>2830.5</v>
      </c>
      <c r="G529" s="195">
        <v>1179.375</v>
      </c>
    </row>
    <row r="530" spans="1:7">
      <c r="A530" s="194">
        <v>3</v>
      </c>
      <c r="B530" s="3">
        <v>390387</v>
      </c>
      <c r="C530" s="3" t="s">
        <v>510</v>
      </c>
      <c r="D530" s="3">
        <v>2797</v>
      </c>
      <c r="E530" s="3">
        <v>44166</v>
      </c>
      <c r="F530" s="3">
        <v>2797</v>
      </c>
      <c r="G530" s="195">
        <v>1398.5</v>
      </c>
    </row>
    <row r="531" spans="1:7">
      <c r="A531" s="194">
        <v>4</v>
      </c>
      <c r="B531" s="3">
        <v>399302</v>
      </c>
      <c r="C531" s="3" t="s">
        <v>507</v>
      </c>
      <c r="D531" s="3">
        <v>552</v>
      </c>
      <c r="E531" s="3">
        <v>44044</v>
      </c>
      <c r="F531" s="3">
        <v>2760</v>
      </c>
      <c r="G531" s="195">
        <v>1214.4000000000001</v>
      </c>
    </row>
    <row r="532" spans="1:7">
      <c r="A532" s="194">
        <v>3</v>
      </c>
      <c r="B532" s="3">
        <v>745878</v>
      </c>
      <c r="C532" s="3" t="s">
        <v>508</v>
      </c>
      <c r="D532" s="3">
        <v>689</v>
      </c>
      <c r="E532" s="3">
        <v>43983</v>
      </c>
      <c r="F532" s="3">
        <v>2756</v>
      </c>
      <c r="G532" s="195">
        <v>1033.5</v>
      </c>
    </row>
    <row r="533" spans="1:7">
      <c r="A533" s="194">
        <v>1</v>
      </c>
      <c r="B533" s="3">
        <v>738711</v>
      </c>
      <c r="C533" s="3" t="s">
        <v>506</v>
      </c>
      <c r="D533" s="3">
        <v>549</v>
      </c>
      <c r="E533" s="3">
        <v>43709</v>
      </c>
      <c r="F533" s="3">
        <v>2745</v>
      </c>
      <c r="G533" s="195">
        <v>1098</v>
      </c>
    </row>
    <row r="534" spans="1:7">
      <c r="A534" s="194">
        <v>2</v>
      </c>
      <c r="B534" s="3">
        <v>533611</v>
      </c>
      <c r="C534" s="3" t="s">
        <v>510</v>
      </c>
      <c r="D534" s="3">
        <v>2734</v>
      </c>
      <c r="E534" s="3">
        <v>44105</v>
      </c>
      <c r="F534" s="3">
        <v>2734</v>
      </c>
      <c r="G534" s="195">
        <v>1367</v>
      </c>
    </row>
    <row r="535" spans="1:7">
      <c r="A535" s="194">
        <v>3</v>
      </c>
      <c r="B535" s="3">
        <v>578917</v>
      </c>
      <c r="C535" s="3" t="s">
        <v>507</v>
      </c>
      <c r="D535" s="3">
        <v>546</v>
      </c>
      <c r="E535" s="3">
        <v>44105</v>
      </c>
      <c r="F535" s="3">
        <v>2730</v>
      </c>
      <c r="G535" s="195">
        <v>1201.2</v>
      </c>
    </row>
    <row r="536" spans="1:7">
      <c r="A536" s="194">
        <v>5</v>
      </c>
      <c r="B536" s="3">
        <v>128675</v>
      </c>
      <c r="C536" s="3" t="s">
        <v>510</v>
      </c>
      <c r="D536" s="3">
        <v>2723</v>
      </c>
      <c r="E536" s="3">
        <v>44136</v>
      </c>
      <c r="F536" s="3">
        <v>2723</v>
      </c>
      <c r="G536" s="195">
        <v>1361.5</v>
      </c>
    </row>
    <row r="537" spans="1:7">
      <c r="A537" s="194">
        <v>4</v>
      </c>
      <c r="B537" s="3">
        <v>252717</v>
      </c>
      <c r="C537" s="3" t="s">
        <v>510</v>
      </c>
      <c r="D537" s="3">
        <v>2665.5</v>
      </c>
      <c r="E537" s="3">
        <v>44013</v>
      </c>
      <c r="F537" s="3">
        <v>2665.5</v>
      </c>
      <c r="G537" s="195">
        <v>1332.75</v>
      </c>
    </row>
    <row r="538" spans="1:7">
      <c r="A538" s="194">
        <v>3</v>
      </c>
      <c r="B538" s="3">
        <v>641259</v>
      </c>
      <c r="C538" s="3" t="s">
        <v>509</v>
      </c>
      <c r="D538" s="3">
        <v>888</v>
      </c>
      <c r="E538" s="3">
        <v>43983</v>
      </c>
      <c r="F538" s="3">
        <v>2664</v>
      </c>
      <c r="G538" s="195">
        <v>1110</v>
      </c>
    </row>
    <row r="539" spans="1:7">
      <c r="A539" s="194">
        <v>1</v>
      </c>
      <c r="B539" s="3">
        <v>200053</v>
      </c>
      <c r="C539" s="3" t="s">
        <v>510</v>
      </c>
      <c r="D539" s="3">
        <v>2661</v>
      </c>
      <c r="E539" s="3">
        <v>43952</v>
      </c>
      <c r="F539" s="3">
        <v>2661</v>
      </c>
      <c r="G539" s="195">
        <v>1330.5</v>
      </c>
    </row>
    <row r="540" spans="1:7">
      <c r="A540" s="194">
        <v>5</v>
      </c>
      <c r="B540" s="3">
        <v>273665</v>
      </c>
      <c r="C540" s="3" t="s">
        <v>508</v>
      </c>
      <c r="D540" s="3">
        <v>663</v>
      </c>
      <c r="E540" s="3">
        <v>43952</v>
      </c>
      <c r="F540" s="3">
        <v>2652</v>
      </c>
      <c r="G540" s="195">
        <v>994.5</v>
      </c>
    </row>
    <row r="541" spans="1:7">
      <c r="A541" s="194">
        <v>3</v>
      </c>
      <c r="B541" s="3">
        <v>747194</v>
      </c>
      <c r="C541" s="3" t="s">
        <v>509</v>
      </c>
      <c r="D541" s="3">
        <v>880</v>
      </c>
      <c r="E541" s="3">
        <v>43952</v>
      </c>
      <c r="F541" s="3">
        <v>2640</v>
      </c>
      <c r="G541" s="195">
        <v>1100</v>
      </c>
    </row>
    <row r="542" spans="1:7">
      <c r="A542" s="194">
        <v>3</v>
      </c>
      <c r="B542" s="3">
        <v>867837</v>
      </c>
      <c r="C542" s="3" t="s">
        <v>509</v>
      </c>
      <c r="D542" s="3">
        <v>877</v>
      </c>
      <c r="E542" s="3">
        <v>44136</v>
      </c>
      <c r="F542" s="3">
        <v>2631</v>
      </c>
      <c r="G542" s="195">
        <v>1096.25</v>
      </c>
    </row>
    <row r="543" spans="1:7">
      <c r="A543" s="194">
        <v>5</v>
      </c>
      <c r="B543" s="3">
        <v>818048</v>
      </c>
      <c r="C543" s="3" t="s">
        <v>509</v>
      </c>
      <c r="D543" s="3">
        <v>866</v>
      </c>
      <c r="E543" s="3">
        <v>43952</v>
      </c>
      <c r="F543" s="3">
        <v>2598</v>
      </c>
      <c r="G543" s="195">
        <v>1082.5</v>
      </c>
    </row>
    <row r="544" spans="1:7">
      <c r="A544" s="194">
        <v>1</v>
      </c>
      <c r="B544" s="3">
        <v>213778</v>
      </c>
      <c r="C544" s="3" t="s">
        <v>509</v>
      </c>
      <c r="D544" s="3">
        <v>865.5</v>
      </c>
      <c r="E544" s="3">
        <v>44013</v>
      </c>
      <c r="F544" s="3">
        <v>2596.5</v>
      </c>
      <c r="G544" s="195">
        <v>1081.875</v>
      </c>
    </row>
    <row r="545" spans="1:7">
      <c r="A545" s="194">
        <v>3</v>
      </c>
      <c r="B545" s="3">
        <v>830805</v>
      </c>
      <c r="C545" s="3" t="s">
        <v>510</v>
      </c>
      <c r="D545" s="3">
        <v>2518</v>
      </c>
      <c r="E545" s="3">
        <v>43983</v>
      </c>
      <c r="F545" s="3">
        <v>2518</v>
      </c>
      <c r="G545" s="195">
        <v>1259</v>
      </c>
    </row>
    <row r="546" spans="1:7">
      <c r="A546" s="194">
        <v>2</v>
      </c>
      <c r="B546" s="3">
        <v>179673</v>
      </c>
      <c r="C546" s="3" t="s">
        <v>510</v>
      </c>
      <c r="D546" s="3">
        <v>2501</v>
      </c>
      <c r="E546" s="3">
        <v>43891</v>
      </c>
      <c r="F546" s="3">
        <v>2501</v>
      </c>
      <c r="G546" s="195">
        <v>1250.5</v>
      </c>
    </row>
    <row r="547" spans="1:7">
      <c r="A547" s="194">
        <v>4</v>
      </c>
      <c r="B547" s="3">
        <v>443834</v>
      </c>
      <c r="C547" s="3" t="s">
        <v>510</v>
      </c>
      <c r="D547" s="3">
        <v>2500</v>
      </c>
      <c r="E547" s="3">
        <v>43770</v>
      </c>
      <c r="F547" s="3">
        <v>2500</v>
      </c>
      <c r="G547" s="195">
        <v>1250</v>
      </c>
    </row>
    <row r="548" spans="1:7">
      <c r="A548" s="194">
        <v>3</v>
      </c>
      <c r="B548" s="3">
        <v>539666</v>
      </c>
      <c r="C548" s="3" t="s">
        <v>510</v>
      </c>
      <c r="D548" s="3">
        <v>2498</v>
      </c>
      <c r="E548" s="3">
        <v>43709</v>
      </c>
      <c r="F548" s="3">
        <v>2498</v>
      </c>
      <c r="G548" s="195">
        <v>1249</v>
      </c>
    </row>
    <row r="549" spans="1:7">
      <c r="A549" s="194">
        <v>4</v>
      </c>
      <c r="B549" s="3">
        <v>249098</v>
      </c>
      <c r="C549" s="3" t="s">
        <v>510</v>
      </c>
      <c r="D549" s="3">
        <v>2470</v>
      </c>
      <c r="E549" s="3">
        <v>43983</v>
      </c>
      <c r="F549" s="3">
        <v>2470</v>
      </c>
      <c r="G549" s="195">
        <v>1235</v>
      </c>
    </row>
    <row r="550" spans="1:7">
      <c r="A550" s="194">
        <v>1</v>
      </c>
      <c r="B550" s="3">
        <v>617339</v>
      </c>
      <c r="C550" s="3" t="s">
        <v>505</v>
      </c>
      <c r="D550" s="3">
        <v>410</v>
      </c>
      <c r="E550" s="3">
        <v>44105</v>
      </c>
      <c r="F550" s="3">
        <v>2460</v>
      </c>
      <c r="G550" s="195">
        <v>1127.5</v>
      </c>
    </row>
    <row r="551" spans="1:7">
      <c r="A551" s="194">
        <v>3</v>
      </c>
      <c r="B551" s="3">
        <v>451947</v>
      </c>
      <c r="C551" s="3" t="s">
        <v>509</v>
      </c>
      <c r="D551" s="3">
        <v>808</v>
      </c>
      <c r="E551" s="3">
        <v>43800</v>
      </c>
      <c r="F551" s="3">
        <v>2424</v>
      </c>
      <c r="G551" s="195">
        <v>1010</v>
      </c>
    </row>
    <row r="552" spans="1:7">
      <c r="A552" s="194">
        <v>4</v>
      </c>
      <c r="B552" s="3">
        <v>741765</v>
      </c>
      <c r="C552" s="3" t="s">
        <v>510</v>
      </c>
      <c r="D552" s="3">
        <v>2420</v>
      </c>
      <c r="E552" s="3">
        <v>44075</v>
      </c>
      <c r="F552" s="3">
        <v>2420</v>
      </c>
      <c r="G552" s="195">
        <v>1210</v>
      </c>
    </row>
    <row r="553" spans="1:7">
      <c r="A553" s="194">
        <v>3</v>
      </c>
      <c r="B553" s="3">
        <v>460452</v>
      </c>
      <c r="C553" s="3" t="s">
        <v>509</v>
      </c>
      <c r="D553" s="3">
        <v>787</v>
      </c>
      <c r="E553" s="3">
        <v>43983</v>
      </c>
      <c r="F553" s="3">
        <v>2361</v>
      </c>
      <c r="G553" s="195">
        <v>983.75</v>
      </c>
    </row>
    <row r="554" spans="1:7">
      <c r="A554" s="194">
        <v>4</v>
      </c>
      <c r="B554" s="3">
        <v>323754</v>
      </c>
      <c r="C554" s="3" t="s">
        <v>507</v>
      </c>
      <c r="D554" s="3">
        <v>472</v>
      </c>
      <c r="E554" s="3">
        <v>44105</v>
      </c>
      <c r="F554" s="3">
        <v>2360</v>
      </c>
      <c r="G554" s="195">
        <v>1038.4000000000001</v>
      </c>
    </row>
    <row r="555" spans="1:7">
      <c r="A555" s="194">
        <v>1</v>
      </c>
      <c r="B555" s="3">
        <v>818777</v>
      </c>
      <c r="C555" s="3" t="s">
        <v>510</v>
      </c>
      <c r="D555" s="3">
        <v>2342</v>
      </c>
      <c r="E555" s="3">
        <v>44136</v>
      </c>
      <c r="F555" s="3">
        <v>2342</v>
      </c>
      <c r="G555" s="195">
        <v>1171</v>
      </c>
    </row>
    <row r="556" spans="1:7">
      <c r="A556" s="194">
        <v>4</v>
      </c>
      <c r="B556" s="3">
        <v>454312</v>
      </c>
      <c r="C556" s="3" t="s">
        <v>510</v>
      </c>
      <c r="D556" s="3">
        <v>2342</v>
      </c>
      <c r="E556" s="3">
        <v>44136</v>
      </c>
      <c r="F556" s="3">
        <v>2342</v>
      </c>
      <c r="G556" s="195">
        <v>1171</v>
      </c>
    </row>
    <row r="557" spans="1:7">
      <c r="A557" s="194">
        <v>2</v>
      </c>
      <c r="B557" s="3">
        <v>336365</v>
      </c>
      <c r="C557" s="3" t="s">
        <v>510</v>
      </c>
      <c r="D557" s="3">
        <v>2340</v>
      </c>
      <c r="E557" s="3">
        <v>43831</v>
      </c>
      <c r="F557" s="3">
        <v>2340</v>
      </c>
      <c r="G557" s="195">
        <v>1170</v>
      </c>
    </row>
    <row r="558" spans="1:7">
      <c r="A558" s="194">
        <v>3</v>
      </c>
      <c r="B558" s="3">
        <v>724808</v>
      </c>
      <c r="C558" s="3" t="s">
        <v>510</v>
      </c>
      <c r="D558" s="3">
        <v>2328</v>
      </c>
      <c r="E558" s="3">
        <v>44075</v>
      </c>
      <c r="F558" s="3">
        <v>2328</v>
      </c>
      <c r="G558" s="195">
        <v>1164</v>
      </c>
    </row>
    <row r="559" spans="1:7">
      <c r="A559" s="194">
        <v>4</v>
      </c>
      <c r="B559" s="3">
        <v>272243</v>
      </c>
      <c r="C559" s="3" t="s">
        <v>510</v>
      </c>
      <c r="D559" s="3">
        <v>2321</v>
      </c>
      <c r="E559" s="3">
        <v>44136</v>
      </c>
      <c r="F559" s="3">
        <v>2321</v>
      </c>
      <c r="G559" s="195">
        <v>1160.5</v>
      </c>
    </row>
    <row r="560" spans="1:7">
      <c r="A560" s="194">
        <v>4</v>
      </c>
      <c r="B560" s="3">
        <v>289924</v>
      </c>
      <c r="C560" s="3" t="s">
        <v>505</v>
      </c>
      <c r="D560" s="3">
        <v>386</v>
      </c>
      <c r="E560" s="3">
        <v>43770</v>
      </c>
      <c r="F560" s="3">
        <v>2316</v>
      </c>
      <c r="G560" s="195">
        <v>1061.5</v>
      </c>
    </row>
    <row r="561" spans="1:7">
      <c r="A561" s="194">
        <v>3</v>
      </c>
      <c r="B561" s="3">
        <v>561083</v>
      </c>
      <c r="C561" s="3" t="s">
        <v>510</v>
      </c>
      <c r="D561" s="3">
        <v>2313</v>
      </c>
      <c r="E561" s="3">
        <v>43952</v>
      </c>
      <c r="F561" s="3">
        <v>2313</v>
      </c>
      <c r="G561" s="195">
        <v>1156.5</v>
      </c>
    </row>
    <row r="562" spans="1:7">
      <c r="A562" s="194">
        <v>3</v>
      </c>
      <c r="B562" s="3">
        <v>120418</v>
      </c>
      <c r="C562" s="3" t="s">
        <v>505</v>
      </c>
      <c r="D562" s="3">
        <v>384</v>
      </c>
      <c r="E562" s="3">
        <v>43831</v>
      </c>
      <c r="F562" s="3">
        <v>2304</v>
      </c>
      <c r="G562" s="195">
        <v>1056</v>
      </c>
    </row>
    <row r="563" spans="1:7">
      <c r="A563" s="194">
        <v>4</v>
      </c>
      <c r="B563" s="3">
        <v>142538</v>
      </c>
      <c r="C563" s="3" t="s">
        <v>510</v>
      </c>
      <c r="D563" s="3">
        <v>2301</v>
      </c>
      <c r="E563" s="3">
        <v>43922</v>
      </c>
      <c r="F563" s="3">
        <v>2301</v>
      </c>
      <c r="G563" s="195">
        <v>1150.5</v>
      </c>
    </row>
    <row r="564" spans="1:7">
      <c r="A564" s="194">
        <v>3</v>
      </c>
      <c r="B564" s="3">
        <v>138137</v>
      </c>
      <c r="C564" s="3" t="s">
        <v>510</v>
      </c>
      <c r="D564" s="3">
        <v>2300</v>
      </c>
      <c r="E564" s="3">
        <v>44166</v>
      </c>
      <c r="F564" s="3">
        <v>2300</v>
      </c>
      <c r="G564" s="195">
        <v>1150</v>
      </c>
    </row>
    <row r="565" spans="1:7">
      <c r="A565" s="194">
        <v>2</v>
      </c>
      <c r="B565" s="3">
        <v>539656</v>
      </c>
      <c r="C565" s="3" t="s">
        <v>508</v>
      </c>
      <c r="D565" s="3">
        <v>570</v>
      </c>
      <c r="E565" s="3">
        <v>44166</v>
      </c>
      <c r="F565" s="3">
        <v>2280</v>
      </c>
      <c r="G565" s="195">
        <v>855</v>
      </c>
    </row>
    <row r="566" spans="1:7">
      <c r="A566" s="194">
        <v>3</v>
      </c>
      <c r="B566" s="3">
        <v>434964</v>
      </c>
      <c r="C566" s="3" t="s">
        <v>510</v>
      </c>
      <c r="D566" s="3">
        <v>2255</v>
      </c>
      <c r="E566" s="3">
        <v>44013</v>
      </c>
      <c r="F566" s="3">
        <v>2255</v>
      </c>
      <c r="G566" s="195">
        <v>1127.5</v>
      </c>
    </row>
    <row r="567" spans="1:7">
      <c r="A567" s="194">
        <v>4</v>
      </c>
      <c r="B567" s="3">
        <v>443447</v>
      </c>
      <c r="C567" s="3" t="s">
        <v>508</v>
      </c>
      <c r="D567" s="3">
        <v>562</v>
      </c>
      <c r="E567" s="3">
        <v>44075</v>
      </c>
      <c r="F567" s="3">
        <v>2248</v>
      </c>
      <c r="G567" s="195">
        <v>843</v>
      </c>
    </row>
    <row r="568" spans="1:7">
      <c r="A568" s="194">
        <v>1</v>
      </c>
      <c r="B568" s="3">
        <v>807061</v>
      </c>
      <c r="C568" s="3" t="s">
        <v>506</v>
      </c>
      <c r="D568" s="3">
        <v>448</v>
      </c>
      <c r="E568" s="3">
        <v>43983</v>
      </c>
      <c r="F568" s="3">
        <v>2240</v>
      </c>
      <c r="G568" s="195">
        <v>896</v>
      </c>
    </row>
    <row r="569" spans="1:7">
      <c r="A569" s="194">
        <v>5</v>
      </c>
      <c r="B569" s="3">
        <v>529423</v>
      </c>
      <c r="C569" s="3" t="s">
        <v>510</v>
      </c>
      <c r="D569" s="3">
        <v>2227.5</v>
      </c>
      <c r="E569" s="3">
        <v>43831</v>
      </c>
      <c r="F569" s="3">
        <v>2227.5</v>
      </c>
      <c r="G569" s="195">
        <v>1113.75</v>
      </c>
    </row>
    <row r="570" spans="1:7">
      <c r="A570" s="194">
        <v>2</v>
      </c>
      <c r="B570" s="3">
        <v>353832</v>
      </c>
      <c r="C570" s="3" t="s">
        <v>510</v>
      </c>
      <c r="D570" s="3">
        <v>2214</v>
      </c>
      <c r="E570" s="3">
        <v>43891</v>
      </c>
      <c r="F570" s="3">
        <v>2214</v>
      </c>
      <c r="G570" s="195">
        <v>1107</v>
      </c>
    </row>
    <row r="571" spans="1:7">
      <c r="A571" s="194">
        <v>1</v>
      </c>
      <c r="B571" s="3">
        <v>327845</v>
      </c>
      <c r="C571" s="3" t="s">
        <v>509</v>
      </c>
      <c r="D571" s="3">
        <v>727</v>
      </c>
      <c r="E571" s="3">
        <v>43983</v>
      </c>
      <c r="F571" s="3">
        <v>2181</v>
      </c>
      <c r="G571" s="195">
        <v>908.75</v>
      </c>
    </row>
    <row r="572" spans="1:7">
      <c r="A572" s="194">
        <v>1</v>
      </c>
      <c r="B572" s="3">
        <v>444955</v>
      </c>
      <c r="C572" s="3" t="s">
        <v>510</v>
      </c>
      <c r="D572" s="3">
        <v>2181</v>
      </c>
      <c r="E572" s="3">
        <v>44105</v>
      </c>
      <c r="F572" s="3">
        <v>2181</v>
      </c>
      <c r="G572" s="195">
        <v>1090.5</v>
      </c>
    </row>
    <row r="573" spans="1:7">
      <c r="A573" s="194">
        <v>1</v>
      </c>
      <c r="B573" s="3">
        <v>729194</v>
      </c>
      <c r="C573" s="3" t="s">
        <v>505</v>
      </c>
      <c r="D573" s="3">
        <v>362</v>
      </c>
      <c r="E573" s="3">
        <v>43952</v>
      </c>
      <c r="F573" s="3">
        <v>2172</v>
      </c>
      <c r="G573" s="195">
        <v>995.5</v>
      </c>
    </row>
    <row r="574" spans="1:7">
      <c r="A574" s="194">
        <v>1</v>
      </c>
      <c r="B574" s="3">
        <v>881771</v>
      </c>
      <c r="C574" s="3" t="s">
        <v>510</v>
      </c>
      <c r="D574" s="3">
        <v>2157</v>
      </c>
      <c r="E574" s="3">
        <v>44166</v>
      </c>
      <c r="F574" s="3">
        <v>2157</v>
      </c>
      <c r="G574" s="195">
        <v>1078.5</v>
      </c>
    </row>
    <row r="575" spans="1:7">
      <c r="A575" s="194">
        <v>4</v>
      </c>
      <c r="B575" s="3">
        <v>366159</v>
      </c>
      <c r="C575" s="3" t="s">
        <v>510</v>
      </c>
      <c r="D575" s="3">
        <v>2146</v>
      </c>
      <c r="E575" s="3">
        <v>44075</v>
      </c>
      <c r="F575" s="3">
        <v>2146</v>
      </c>
      <c r="G575" s="195">
        <v>1073</v>
      </c>
    </row>
    <row r="576" spans="1:7">
      <c r="A576" s="194">
        <v>2</v>
      </c>
      <c r="B576" s="3">
        <v>361276</v>
      </c>
      <c r="C576" s="3" t="s">
        <v>508</v>
      </c>
      <c r="D576" s="3">
        <v>521</v>
      </c>
      <c r="E576" s="3">
        <v>44166</v>
      </c>
      <c r="F576" s="3">
        <v>2084</v>
      </c>
      <c r="G576" s="195">
        <v>781.5</v>
      </c>
    </row>
    <row r="577" spans="1:7">
      <c r="A577" s="194">
        <v>5</v>
      </c>
      <c r="B577" s="3">
        <v>742570</v>
      </c>
      <c r="C577" s="3" t="s">
        <v>510</v>
      </c>
      <c r="D577" s="3">
        <v>2072</v>
      </c>
      <c r="E577" s="3">
        <v>44166</v>
      </c>
      <c r="F577" s="3">
        <v>2072</v>
      </c>
      <c r="G577" s="195">
        <v>1036</v>
      </c>
    </row>
    <row r="578" spans="1:7">
      <c r="A578" s="194">
        <v>3</v>
      </c>
      <c r="B578" s="3">
        <v>725066</v>
      </c>
      <c r="C578" s="3" t="s">
        <v>505</v>
      </c>
      <c r="D578" s="3">
        <v>345</v>
      </c>
      <c r="E578" s="3">
        <v>43739</v>
      </c>
      <c r="F578" s="3">
        <v>2070</v>
      </c>
      <c r="G578" s="195">
        <v>948.75</v>
      </c>
    </row>
    <row r="579" spans="1:7">
      <c r="A579" s="194">
        <v>5</v>
      </c>
      <c r="B579" s="3">
        <v>403071</v>
      </c>
      <c r="C579" s="3" t="s">
        <v>505</v>
      </c>
      <c r="D579" s="3">
        <v>344</v>
      </c>
      <c r="E579" s="3">
        <v>43739</v>
      </c>
      <c r="F579" s="3">
        <v>2064</v>
      </c>
      <c r="G579" s="195">
        <v>946</v>
      </c>
    </row>
    <row r="580" spans="1:7">
      <c r="A580" s="194">
        <v>1</v>
      </c>
      <c r="B580" s="3">
        <v>148871</v>
      </c>
      <c r="C580" s="3" t="s">
        <v>507</v>
      </c>
      <c r="D580" s="3">
        <v>410</v>
      </c>
      <c r="E580" s="3">
        <v>44105</v>
      </c>
      <c r="F580" s="3">
        <v>2050</v>
      </c>
      <c r="G580" s="195">
        <v>902.00000000000011</v>
      </c>
    </row>
    <row r="581" spans="1:7">
      <c r="A581" s="194">
        <v>1</v>
      </c>
      <c r="B581" s="3">
        <v>801641</v>
      </c>
      <c r="C581" s="3" t="s">
        <v>510</v>
      </c>
      <c r="D581" s="3">
        <v>2031</v>
      </c>
      <c r="E581" s="3">
        <v>44105</v>
      </c>
      <c r="F581" s="3">
        <v>2031</v>
      </c>
      <c r="G581" s="195">
        <v>1015.5</v>
      </c>
    </row>
    <row r="582" spans="1:7">
      <c r="A582" s="194">
        <v>4</v>
      </c>
      <c r="B582" s="3">
        <v>574744</v>
      </c>
      <c r="C582" s="3" t="s">
        <v>510</v>
      </c>
      <c r="D582" s="3">
        <v>2021</v>
      </c>
      <c r="E582" s="3">
        <v>44105</v>
      </c>
      <c r="F582" s="3">
        <v>2021</v>
      </c>
      <c r="G582" s="195">
        <v>1010.5</v>
      </c>
    </row>
    <row r="583" spans="1:7">
      <c r="A583" s="194">
        <v>5</v>
      </c>
      <c r="B583" s="3">
        <v>160577</v>
      </c>
      <c r="C583" s="3" t="s">
        <v>509</v>
      </c>
      <c r="D583" s="3">
        <v>662</v>
      </c>
      <c r="E583" s="3">
        <v>43983</v>
      </c>
      <c r="F583" s="3">
        <v>1986</v>
      </c>
      <c r="G583" s="195">
        <v>827.5</v>
      </c>
    </row>
    <row r="584" spans="1:7">
      <c r="A584" s="194">
        <v>4</v>
      </c>
      <c r="B584" s="3">
        <v>757336</v>
      </c>
      <c r="C584" s="3" t="s">
        <v>510</v>
      </c>
      <c r="D584" s="3">
        <v>1976</v>
      </c>
      <c r="E584" s="3">
        <v>44105</v>
      </c>
      <c r="F584" s="3">
        <v>1976</v>
      </c>
      <c r="G584" s="195">
        <v>988</v>
      </c>
    </row>
    <row r="585" spans="1:7">
      <c r="A585" s="194">
        <v>5</v>
      </c>
      <c r="B585" s="3">
        <v>238485</v>
      </c>
      <c r="C585" s="3" t="s">
        <v>508</v>
      </c>
      <c r="D585" s="3">
        <v>494</v>
      </c>
      <c r="E585" s="3">
        <v>43739</v>
      </c>
      <c r="F585" s="3">
        <v>1976</v>
      </c>
      <c r="G585" s="195">
        <v>741</v>
      </c>
    </row>
    <row r="586" spans="1:7">
      <c r="A586" s="194">
        <v>4</v>
      </c>
      <c r="B586" s="3">
        <v>823953</v>
      </c>
      <c r="C586" s="3" t="s">
        <v>510</v>
      </c>
      <c r="D586" s="3">
        <v>1967</v>
      </c>
      <c r="E586" s="3">
        <v>43891</v>
      </c>
      <c r="F586" s="3">
        <v>1967</v>
      </c>
      <c r="G586" s="195">
        <v>983.5</v>
      </c>
    </row>
    <row r="587" spans="1:7">
      <c r="A587" s="194">
        <v>2</v>
      </c>
      <c r="B587" s="3">
        <v>297812</v>
      </c>
      <c r="C587" s="3" t="s">
        <v>508</v>
      </c>
      <c r="D587" s="3">
        <v>490</v>
      </c>
      <c r="E587" s="3">
        <v>44136</v>
      </c>
      <c r="F587" s="3">
        <v>1960</v>
      </c>
      <c r="G587" s="195">
        <v>735</v>
      </c>
    </row>
    <row r="588" spans="1:7">
      <c r="A588" s="194">
        <v>5</v>
      </c>
      <c r="B588" s="3">
        <v>570270</v>
      </c>
      <c r="C588" s="3" t="s">
        <v>510</v>
      </c>
      <c r="D588" s="3">
        <v>1958</v>
      </c>
      <c r="E588" s="3">
        <v>43862</v>
      </c>
      <c r="F588" s="3">
        <v>1958</v>
      </c>
      <c r="G588" s="195">
        <v>979</v>
      </c>
    </row>
    <row r="589" spans="1:7">
      <c r="A589" s="194">
        <v>3</v>
      </c>
      <c r="B589" s="3">
        <v>686651</v>
      </c>
      <c r="C589" s="3" t="s">
        <v>506</v>
      </c>
      <c r="D589" s="3">
        <v>386</v>
      </c>
      <c r="E589" s="3">
        <v>43739</v>
      </c>
      <c r="F589" s="3">
        <v>1930</v>
      </c>
      <c r="G589" s="195">
        <v>772</v>
      </c>
    </row>
    <row r="590" spans="1:7">
      <c r="A590" s="194">
        <v>1</v>
      </c>
      <c r="B590" s="3">
        <v>485947</v>
      </c>
      <c r="C590" s="3" t="s">
        <v>509</v>
      </c>
      <c r="D590" s="3">
        <v>641</v>
      </c>
      <c r="E590" s="3">
        <v>44013</v>
      </c>
      <c r="F590" s="3">
        <v>1923</v>
      </c>
      <c r="G590" s="195">
        <v>801.25</v>
      </c>
    </row>
    <row r="591" spans="1:7">
      <c r="A591" s="194">
        <v>2</v>
      </c>
      <c r="B591" s="3">
        <v>445507</v>
      </c>
      <c r="C591" s="3" t="s">
        <v>510</v>
      </c>
      <c r="D591" s="3">
        <v>1901</v>
      </c>
      <c r="E591" s="3">
        <v>43983</v>
      </c>
      <c r="F591" s="3">
        <v>1901</v>
      </c>
      <c r="G591" s="195">
        <v>950.5</v>
      </c>
    </row>
    <row r="592" spans="1:7">
      <c r="A592" s="194">
        <v>3</v>
      </c>
      <c r="B592" s="3">
        <v>607709</v>
      </c>
      <c r="C592" s="3" t="s">
        <v>506</v>
      </c>
      <c r="D592" s="3">
        <v>380</v>
      </c>
      <c r="E592" s="3">
        <v>43709</v>
      </c>
      <c r="F592" s="3">
        <v>1900</v>
      </c>
      <c r="G592" s="195">
        <v>760</v>
      </c>
    </row>
    <row r="593" spans="1:7">
      <c r="A593" s="194">
        <v>4</v>
      </c>
      <c r="B593" s="3">
        <v>737790</v>
      </c>
      <c r="C593" s="3" t="s">
        <v>506</v>
      </c>
      <c r="D593" s="3">
        <v>380</v>
      </c>
      <c r="E593" s="3">
        <v>43800</v>
      </c>
      <c r="F593" s="3">
        <v>1900</v>
      </c>
      <c r="G593" s="195">
        <v>760</v>
      </c>
    </row>
    <row r="594" spans="1:7">
      <c r="A594" s="194">
        <v>5</v>
      </c>
      <c r="B594" s="3">
        <v>138739</v>
      </c>
      <c r="C594" s="3" t="s">
        <v>510</v>
      </c>
      <c r="D594" s="3">
        <v>1899</v>
      </c>
      <c r="E594" s="3">
        <v>43983</v>
      </c>
      <c r="F594" s="3">
        <v>1899</v>
      </c>
      <c r="G594" s="195">
        <v>949.5</v>
      </c>
    </row>
    <row r="595" spans="1:7">
      <c r="A595" s="194">
        <v>4</v>
      </c>
      <c r="B595" s="3">
        <v>362208</v>
      </c>
      <c r="C595" s="3" t="s">
        <v>509</v>
      </c>
      <c r="D595" s="3">
        <v>623</v>
      </c>
      <c r="E595" s="3">
        <v>43709</v>
      </c>
      <c r="F595" s="3">
        <v>1869</v>
      </c>
      <c r="G595" s="195">
        <v>778.75</v>
      </c>
    </row>
    <row r="596" spans="1:7">
      <c r="A596" s="194">
        <v>3</v>
      </c>
      <c r="B596" s="3">
        <v>539522</v>
      </c>
      <c r="C596" s="3" t="s">
        <v>510</v>
      </c>
      <c r="D596" s="3">
        <v>1859</v>
      </c>
      <c r="E596" s="3">
        <v>44044</v>
      </c>
      <c r="F596" s="3">
        <v>1859</v>
      </c>
      <c r="G596" s="195">
        <v>929.5</v>
      </c>
    </row>
    <row r="597" spans="1:7">
      <c r="A597" s="194">
        <v>3</v>
      </c>
      <c r="B597" s="3">
        <v>431913</v>
      </c>
      <c r="C597" s="3" t="s">
        <v>510</v>
      </c>
      <c r="D597" s="3">
        <v>1857</v>
      </c>
      <c r="E597" s="3">
        <v>43770</v>
      </c>
      <c r="F597" s="3">
        <v>1857</v>
      </c>
      <c r="G597" s="195">
        <v>928.5</v>
      </c>
    </row>
    <row r="598" spans="1:7">
      <c r="A598" s="194">
        <v>2</v>
      </c>
      <c r="B598" s="3">
        <v>266313</v>
      </c>
      <c r="C598" s="3" t="s">
        <v>506</v>
      </c>
      <c r="D598" s="3">
        <v>367</v>
      </c>
      <c r="E598" s="3">
        <v>43739</v>
      </c>
      <c r="F598" s="3">
        <v>1835</v>
      </c>
      <c r="G598" s="195">
        <v>734</v>
      </c>
    </row>
    <row r="599" spans="1:7">
      <c r="A599" s="194">
        <v>2</v>
      </c>
      <c r="B599" s="3">
        <v>898637</v>
      </c>
      <c r="C599" s="3" t="s">
        <v>506</v>
      </c>
      <c r="D599" s="3">
        <v>367</v>
      </c>
      <c r="E599" s="3">
        <v>44013</v>
      </c>
      <c r="F599" s="3">
        <v>1835</v>
      </c>
      <c r="G599" s="195">
        <v>734</v>
      </c>
    </row>
    <row r="600" spans="1:7">
      <c r="A600" s="194">
        <v>4</v>
      </c>
      <c r="B600" s="3">
        <v>459280</v>
      </c>
      <c r="C600" s="3" t="s">
        <v>510</v>
      </c>
      <c r="D600" s="3">
        <v>1830</v>
      </c>
      <c r="E600" s="3">
        <v>44044</v>
      </c>
      <c r="F600" s="3">
        <v>1830</v>
      </c>
      <c r="G600" s="195">
        <v>915</v>
      </c>
    </row>
    <row r="601" spans="1:7">
      <c r="A601" s="194">
        <v>5</v>
      </c>
      <c r="B601" s="3">
        <v>352793</v>
      </c>
      <c r="C601" s="3" t="s">
        <v>510</v>
      </c>
      <c r="D601" s="3">
        <v>1804</v>
      </c>
      <c r="E601" s="3">
        <v>43770</v>
      </c>
      <c r="F601" s="3">
        <v>1804</v>
      </c>
      <c r="G601" s="195">
        <v>902</v>
      </c>
    </row>
    <row r="602" spans="1:7">
      <c r="A602" s="194">
        <v>2</v>
      </c>
      <c r="B602" s="3">
        <v>336267</v>
      </c>
      <c r="C602" s="3" t="s">
        <v>506</v>
      </c>
      <c r="D602" s="3">
        <v>360</v>
      </c>
      <c r="E602" s="3">
        <v>44105</v>
      </c>
      <c r="F602" s="3">
        <v>1800</v>
      </c>
      <c r="G602" s="195">
        <v>720</v>
      </c>
    </row>
    <row r="603" spans="1:7">
      <c r="A603" s="194">
        <v>5</v>
      </c>
      <c r="B603" s="3">
        <v>806978</v>
      </c>
      <c r="C603" s="3" t="s">
        <v>510</v>
      </c>
      <c r="D603" s="3">
        <v>1797</v>
      </c>
      <c r="E603" s="3">
        <v>43709</v>
      </c>
      <c r="F603" s="3">
        <v>1797</v>
      </c>
      <c r="G603" s="195">
        <v>898.5</v>
      </c>
    </row>
    <row r="604" spans="1:7">
      <c r="A604" s="194">
        <v>5</v>
      </c>
      <c r="B604" s="3">
        <v>115306</v>
      </c>
      <c r="C604" s="3" t="s">
        <v>508</v>
      </c>
      <c r="D604" s="3">
        <v>448</v>
      </c>
      <c r="E604" s="3">
        <v>43983</v>
      </c>
      <c r="F604" s="3">
        <v>1792</v>
      </c>
      <c r="G604" s="195">
        <v>672</v>
      </c>
    </row>
    <row r="605" spans="1:7">
      <c r="A605" s="194">
        <v>3</v>
      </c>
      <c r="B605" s="3">
        <v>448428</v>
      </c>
      <c r="C605" s="3" t="s">
        <v>506</v>
      </c>
      <c r="D605" s="3">
        <v>357</v>
      </c>
      <c r="E605" s="3">
        <v>44136</v>
      </c>
      <c r="F605" s="3">
        <v>1785</v>
      </c>
      <c r="G605" s="195">
        <v>714</v>
      </c>
    </row>
    <row r="606" spans="1:7">
      <c r="A606" s="194">
        <v>2</v>
      </c>
      <c r="B606" s="3">
        <v>433556</v>
      </c>
      <c r="C606" s="3" t="s">
        <v>510</v>
      </c>
      <c r="D606" s="3">
        <v>1773</v>
      </c>
      <c r="E606" s="3">
        <v>43922</v>
      </c>
      <c r="F606" s="3">
        <v>1773</v>
      </c>
      <c r="G606" s="195">
        <v>886.5</v>
      </c>
    </row>
    <row r="607" spans="1:7">
      <c r="A607" s="194">
        <v>3</v>
      </c>
      <c r="B607" s="3">
        <v>676544</v>
      </c>
      <c r="C607" s="3" t="s">
        <v>508</v>
      </c>
      <c r="D607" s="3">
        <v>442</v>
      </c>
      <c r="E607" s="3">
        <v>43709</v>
      </c>
      <c r="F607" s="3">
        <v>1768</v>
      </c>
      <c r="G607" s="195">
        <v>663</v>
      </c>
    </row>
    <row r="608" spans="1:7">
      <c r="A608" s="194">
        <v>3</v>
      </c>
      <c r="B608" s="3">
        <v>215754</v>
      </c>
      <c r="C608" s="3" t="s">
        <v>510</v>
      </c>
      <c r="D608" s="3">
        <v>1757</v>
      </c>
      <c r="E608" s="3">
        <v>43739</v>
      </c>
      <c r="F608" s="3">
        <v>1757</v>
      </c>
      <c r="G608" s="195">
        <v>878.5</v>
      </c>
    </row>
    <row r="609" spans="1:7">
      <c r="A609" s="194">
        <v>4</v>
      </c>
      <c r="B609" s="3">
        <v>164574</v>
      </c>
      <c r="C609" s="3" t="s">
        <v>510</v>
      </c>
      <c r="D609" s="3">
        <v>1727</v>
      </c>
      <c r="E609" s="3">
        <v>43739</v>
      </c>
      <c r="F609" s="3">
        <v>1727</v>
      </c>
      <c r="G609" s="195">
        <v>863.5</v>
      </c>
    </row>
    <row r="610" spans="1:7">
      <c r="A610" s="194">
        <v>3</v>
      </c>
      <c r="B610" s="3">
        <v>324307</v>
      </c>
      <c r="C610" s="3" t="s">
        <v>509</v>
      </c>
      <c r="D610" s="3">
        <v>574.5</v>
      </c>
      <c r="E610" s="3">
        <v>43922</v>
      </c>
      <c r="F610" s="3">
        <v>1723.5</v>
      </c>
      <c r="G610" s="195">
        <v>718.125</v>
      </c>
    </row>
    <row r="611" spans="1:7">
      <c r="A611" s="194">
        <v>1</v>
      </c>
      <c r="B611" s="3">
        <v>423355</v>
      </c>
      <c r="C611" s="3" t="s">
        <v>507</v>
      </c>
      <c r="D611" s="3">
        <v>344</v>
      </c>
      <c r="E611" s="3">
        <v>43739</v>
      </c>
      <c r="F611" s="3">
        <v>1720</v>
      </c>
      <c r="G611" s="195">
        <v>756.80000000000007</v>
      </c>
    </row>
    <row r="612" spans="1:7">
      <c r="A612" s="194">
        <v>2</v>
      </c>
      <c r="B612" s="3">
        <v>347412</v>
      </c>
      <c r="C612" s="3" t="s">
        <v>510</v>
      </c>
      <c r="D612" s="3">
        <v>1715</v>
      </c>
      <c r="E612" s="3">
        <v>43739</v>
      </c>
      <c r="F612" s="3">
        <v>1715</v>
      </c>
      <c r="G612" s="195">
        <v>857.5</v>
      </c>
    </row>
    <row r="613" spans="1:7">
      <c r="A613" s="194">
        <v>2</v>
      </c>
      <c r="B613" s="3">
        <v>899502</v>
      </c>
      <c r="C613" s="3" t="s">
        <v>509</v>
      </c>
      <c r="D613" s="3">
        <v>570</v>
      </c>
      <c r="E613" s="3">
        <v>44166</v>
      </c>
      <c r="F613" s="3">
        <v>1710</v>
      </c>
      <c r="G613" s="195">
        <v>712.5</v>
      </c>
    </row>
    <row r="614" spans="1:7">
      <c r="A614" s="194">
        <v>3</v>
      </c>
      <c r="B614" s="3">
        <v>494228</v>
      </c>
      <c r="C614" s="3" t="s">
        <v>510</v>
      </c>
      <c r="D614" s="3">
        <v>1706</v>
      </c>
      <c r="E614" s="3">
        <v>44166</v>
      </c>
      <c r="F614" s="3">
        <v>1706</v>
      </c>
      <c r="G614" s="195">
        <v>853</v>
      </c>
    </row>
    <row r="615" spans="1:7">
      <c r="A615" s="194">
        <v>2</v>
      </c>
      <c r="B615" s="3">
        <v>487819</v>
      </c>
      <c r="C615" s="3" t="s">
        <v>510</v>
      </c>
      <c r="D615" s="3">
        <v>1666</v>
      </c>
      <c r="E615" s="3">
        <v>43952</v>
      </c>
      <c r="F615" s="3">
        <v>1666</v>
      </c>
      <c r="G615" s="195">
        <v>833</v>
      </c>
    </row>
    <row r="616" spans="1:7">
      <c r="A616" s="194">
        <v>3</v>
      </c>
      <c r="B616" s="3">
        <v>878522</v>
      </c>
      <c r="C616" s="3" t="s">
        <v>509</v>
      </c>
      <c r="D616" s="3">
        <v>554</v>
      </c>
      <c r="E616" s="3">
        <v>43831</v>
      </c>
      <c r="F616" s="3">
        <v>1662</v>
      </c>
      <c r="G616" s="195">
        <v>692.5</v>
      </c>
    </row>
    <row r="617" spans="1:7">
      <c r="A617" s="194">
        <v>4</v>
      </c>
      <c r="B617" s="3">
        <v>113657</v>
      </c>
      <c r="C617" s="3" t="s">
        <v>510</v>
      </c>
      <c r="D617" s="3">
        <v>1660</v>
      </c>
      <c r="E617" s="3">
        <v>43770</v>
      </c>
      <c r="F617" s="3">
        <v>1660</v>
      </c>
      <c r="G617" s="195">
        <v>830</v>
      </c>
    </row>
    <row r="618" spans="1:7">
      <c r="A618" s="194">
        <v>4</v>
      </c>
      <c r="B618" s="3">
        <v>483216</v>
      </c>
      <c r="C618" s="3" t="s">
        <v>509</v>
      </c>
      <c r="D618" s="3">
        <v>552</v>
      </c>
      <c r="E618" s="3">
        <v>44136</v>
      </c>
      <c r="F618" s="3">
        <v>1656</v>
      </c>
      <c r="G618" s="195">
        <v>690</v>
      </c>
    </row>
    <row r="619" spans="1:7">
      <c r="A619" s="194">
        <v>2</v>
      </c>
      <c r="B619" s="3">
        <v>867907</v>
      </c>
      <c r="C619" s="3" t="s">
        <v>505</v>
      </c>
      <c r="D619" s="3">
        <v>269</v>
      </c>
      <c r="E619" s="3">
        <v>43739</v>
      </c>
      <c r="F619" s="3">
        <v>1614</v>
      </c>
      <c r="G619" s="195">
        <v>739.75</v>
      </c>
    </row>
    <row r="620" spans="1:7">
      <c r="A620" s="194">
        <v>2</v>
      </c>
      <c r="B620" s="3">
        <v>270516</v>
      </c>
      <c r="C620" s="3" t="s">
        <v>510</v>
      </c>
      <c r="D620" s="3">
        <v>1611</v>
      </c>
      <c r="E620" s="3">
        <v>43800</v>
      </c>
      <c r="F620" s="3">
        <v>1611</v>
      </c>
      <c r="G620" s="195">
        <v>805.5</v>
      </c>
    </row>
    <row r="621" spans="1:7">
      <c r="A621" s="194">
        <v>4</v>
      </c>
      <c r="B621" s="3">
        <v>182735</v>
      </c>
      <c r="C621" s="3" t="s">
        <v>507</v>
      </c>
      <c r="D621" s="3">
        <v>321</v>
      </c>
      <c r="E621" s="3">
        <v>43770</v>
      </c>
      <c r="F621" s="3">
        <v>1605</v>
      </c>
      <c r="G621" s="195">
        <v>706.2</v>
      </c>
    </row>
    <row r="622" spans="1:7">
      <c r="A622" s="194">
        <v>1</v>
      </c>
      <c r="B622" s="3">
        <v>326089</v>
      </c>
      <c r="C622" s="3" t="s">
        <v>510</v>
      </c>
      <c r="D622" s="3">
        <v>1566</v>
      </c>
      <c r="E622" s="3">
        <v>44105</v>
      </c>
      <c r="F622" s="3">
        <v>1566</v>
      </c>
      <c r="G622" s="195">
        <v>783</v>
      </c>
    </row>
    <row r="623" spans="1:7">
      <c r="A623" s="194">
        <v>1</v>
      </c>
      <c r="B623" s="3">
        <v>102288</v>
      </c>
      <c r="C623" s="3" t="s">
        <v>509</v>
      </c>
      <c r="D623" s="3">
        <v>521</v>
      </c>
      <c r="E623" s="3">
        <v>44166</v>
      </c>
      <c r="F623" s="3">
        <v>1563</v>
      </c>
      <c r="G623" s="195">
        <v>651.25</v>
      </c>
    </row>
    <row r="624" spans="1:7">
      <c r="A624" s="194">
        <v>3</v>
      </c>
      <c r="B624" s="3">
        <v>141979</v>
      </c>
      <c r="C624" s="3" t="s">
        <v>510</v>
      </c>
      <c r="D624" s="3">
        <v>1562</v>
      </c>
      <c r="E624" s="3">
        <v>44044</v>
      </c>
      <c r="F624" s="3">
        <v>1562</v>
      </c>
      <c r="G624" s="195">
        <v>781</v>
      </c>
    </row>
    <row r="625" spans="1:7">
      <c r="A625" s="194">
        <v>2</v>
      </c>
      <c r="B625" s="3">
        <v>830819</v>
      </c>
      <c r="C625" s="3" t="s">
        <v>510</v>
      </c>
      <c r="D625" s="3">
        <v>1545</v>
      </c>
      <c r="E625" s="3">
        <v>43983</v>
      </c>
      <c r="F625" s="3">
        <v>1545</v>
      </c>
      <c r="G625" s="195">
        <v>772.5</v>
      </c>
    </row>
    <row r="626" spans="1:7">
      <c r="A626" s="194">
        <v>4</v>
      </c>
      <c r="B626" s="3">
        <v>395290</v>
      </c>
      <c r="C626" s="3" t="s">
        <v>508</v>
      </c>
      <c r="D626" s="3">
        <v>386</v>
      </c>
      <c r="E626" s="3">
        <v>43739</v>
      </c>
      <c r="F626" s="3">
        <v>1544</v>
      </c>
      <c r="G626" s="195">
        <v>579</v>
      </c>
    </row>
    <row r="627" spans="1:7">
      <c r="A627" s="194">
        <v>2</v>
      </c>
      <c r="B627" s="3">
        <v>581556</v>
      </c>
      <c r="C627" s="3" t="s">
        <v>507</v>
      </c>
      <c r="D627" s="3">
        <v>306</v>
      </c>
      <c r="E627" s="3">
        <v>43800</v>
      </c>
      <c r="F627" s="3">
        <v>1530</v>
      </c>
      <c r="G627" s="195">
        <v>673.2</v>
      </c>
    </row>
    <row r="628" spans="1:7">
      <c r="A628" s="194">
        <v>3</v>
      </c>
      <c r="B628" s="3">
        <v>243929</v>
      </c>
      <c r="C628" s="3" t="s">
        <v>509</v>
      </c>
      <c r="D628" s="3">
        <v>494</v>
      </c>
      <c r="E628" s="3">
        <v>43739</v>
      </c>
      <c r="F628" s="3">
        <v>1482</v>
      </c>
      <c r="G628" s="195">
        <v>617.5</v>
      </c>
    </row>
    <row r="629" spans="1:7">
      <c r="A629" s="194">
        <v>4</v>
      </c>
      <c r="B629" s="3">
        <v>414407</v>
      </c>
      <c r="C629" s="3" t="s">
        <v>509</v>
      </c>
      <c r="D629" s="3">
        <v>492</v>
      </c>
      <c r="E629" s="3">
        <v>44013</v>
      </c>
      <c r="F629" s="3">
        <v>1476</v>
      </c>
      <c r="G629" s="195">
        <v>615</v>
      </c>
    </row>
    <row r="630" spans="1:7">
      <c r="A630" s="194">
        <v>1</v>
      </c>
      <c r="B630" s="3">
        <v>847731</v>
      </c>
      <c r="C630" s="3" t="s">
        <v>505</v>
      </c>
      <c r="D630" s="3">
        <v>245</v>
      </c>
      <c r="E630" s="3">
        <v>43952</v>
      </c>
      <c r="F630" s="3">
        <v>1470</v>
      </c>
      <c r="G630" s="195">
        <v>673.75</v>
      </c>
    </row>
    <row r="631" spans="1:7">
      <c r="A631" s="194">
        <v>5</v>
      </c>
      <c r="B631" s="3">
        <v>496752</v>
      </c>
      <c r="C631" s="3" t="s">
        <v>508</v>
      </c>
      <c r="D631" s="3">
        <v>367</v>
      </c>
      <c r="E631" s="3">
        <v>43739</v>
      </c>
      <c r="F631" s="3">
        <v>1468</v>
      </c>
      <c r="G631" s="195">
        <v>550.5</v>
      </c>
    </row>
    <row r="632" spans="1:7">
      <c r="A632" s="194">
        <v>4</v>
      </c>
      <c r="B632" s="3">
        <v>809091</v>
      </c>
      <c r="C632" s="3" t="s">
        <v>506</v>
      </c>
      <c r="D632" s="3">
        <v>293</v>
      </c>
      <c r="E632" s="3">
        <v>44166</v>
      </c>
      <c r="F632" s="3">
        <v>1465</v>
      </c>
      <c r="G632" s="195">
        <v>586</v>
      </c>
    </row>
    <row r="633" spans="1:7">
      <c r="A633" s="194">
        <v>2</v>
      </c>
      <c r="B633" s="3">
        <v>199458</v>
      </c>
      <c r="C633" s="3" t="s">
        <v>510</v>
      </c>
      <c r="D633" s="3">
        <v>1460</v>
      </c>
      <c r="E633" s="3">
        <v>43952</v>
      </c>
      <c r="F633" s="3">
        <v>1460</v>
      </c>
      <c r="G633" s="195">
        <v>730</v>
      </c>
    </row>
    <row r="634" spans="1:7">
      <c r="A634" s="194">
        <v>3</v>
      </c>
      <c r="B634" s="3">
        <v>266868</v>
      </c>
      <c r="C634" s="3" t="s">
        <v>506</v>
      </c>
      <c r="D634" s="3">
        <v>292</v>
      </c>
      <c r="E634" s="3">
        <v>43862</v>
      </c>
      <c r="F634" s="3">
        <v>1460</v>
      </c>
      <c r="G634" s="195">
        <v>584</v>
      </c>
    </row>
    <row r="635" spans="1:7">
      <c r="A635" s="194">
        <v>2</v>
      </c>
      <c r="B635" s="3">
        <v>775311</v>
      </c>
      <c r="C635" s="3" t="s">
        <v>505</v>
      </c>
      <c r="D635" s="3">
        <v>241</v>
      </c>
      <c r="E635" s="3">
        <v>44105</v>
      </c>
      <c r="F635" s="3">
        <v>1446</v>
      </c>
      <c r="G635" s="195">
        <v>662.75</v>
      </c>
    </row>
    <row r="636" spans="1:7">
      <c r="A636" s="194">
        <v>4</v>
      </c>
      <c r="B636" s="3">
        <v>294390</v>
      </c>
      <c r="C636" s="3" t="s">
        <v>510</v>
      </c>
      <c r="D636" s="3">
        <v>1403</v>
      </c>
      <c r="E636" s="3">
        <v>43739</v>
      </c>
      <c r="F636" s="3">
        <v>1403</v>
      </c>
      <c r="G636" s="195">
        <v>701.5</v>
      </c>
    </row>
    <row r="637" spans="1:7">
      <c r="A637" s="194">
        <v>3</v>
      </c>
      <c r="B637" s="3">
        <v>217341</v>
      </c>
      <c r="C637" s="3" t="s">
        <v>506</v>
      </c>
      <c r="D637" s="3">
        <v>278</v>
      </c>
      <c r="E637" s="3">
        <v>43862</v>
      </c>
      <c r="F637" s="3">
        <v>1390</v>
      </c>
      <c r="G637" s="195">
        <v>556</v>
      </c>
    </row>
    <row r="638" spans="1:7">
      <c r="A638" s="194">
        <v>3</v>
      </c>
      <c r="B638" s="3">
        <v>779079</v>
      </c>
      <c r="C638" s="3" t="s">
        <v>510</v>
      </c>
      <c r="D638" s="3">
        <v>1384.5</v>
      </c>
      <c r="E638" s="3">
        <v>43831</v>
      </c>
      <c r="F638" s="3">
        <v>1384.5</v>
      </c>
      <c r="G638" s="195">
        <v>692.25</v>
      </c>
    </row>
    <row r="639" spans="1:7">
      <c r="A639" s="194">
        <v>4</v>
      </c>
      <c r="B639" s="3">
        <v>892418</v>
      </c>
      <c r="C639" s="3" t="s">
        <v>510</v>
      </c>
      <c r="D639" s="3">
        <v>1375.5</v>
      </c>
      <c r="E639" s="3">
        <v>44013</v>
      </c>
      <c r="F639" s="3">
        <v>1375.5</v>
      </c>
      <c r="G639" s="195">
        <v>687.75</v>
      </c>
    </row>
    <row r="640" spans="1:7">
      <c r="A640" s="194">
        <v>3</v>
      </c>
      <c r="B640" s="3">
        <v>817134</v>
      </c>
      <c r="C640" s="3" t="s">
        <v>506</v>
      </c>
      <c r="D640" s="3">
        <v>274</v>
      </c>
      <c r="E640" s="3">
        <v>44166</v>
      </c>
      <c r="F640" s="3">
        <v>1370</v>
      </c>
      <c r="G640" s="195">
        <v>548</v>
      </c>
    </row>
    <row r="641" spans="1:7">
      <c r="A641" s="194">
        <v>4</v>
      </c>
      <c r="B641" s="3">
        <v>605154</v>
      </c>
      <c r="C641" s="3" t="s">
        <v>510</v>
      </c>
      <c r="D641" s="3">
        <v>1368</v>
      </c>
      <c r="E641" s="3">
        <v>43862</v>
      </c>
      <c r="F641" s="3">
        <v>1368</v>
      </c>
      <c r="G641" s="195">
        <v>684</v>
      </c>
    </row>
    <row r="642" spans="1:7">
      <c r="A642" s="194">
        <v>4</v>
      </c>
      <c r="B642" s="3">
        <v>531656</v>
      </c>
      <c r="C642" s="3" t="s">
        <v>507</v>
      </c>
      <c r="D642" s="3">
        <v>270</v>
      </c>
      <c r="E642" s="3">
        <v>43862</v>
      </c>
      <c r="F642" s="3">
        <v>1350</v>
      </c>
      <c r="G642" s="195">
        <v>594</v>
      </c>
    </row>
    <row r="643" spans="1:7">
      <c r="A643" s="194">
        <v>3</v>
      </c>
      <c r="B643" s="3">
        <v>609851</v>
      </c>
      <c r="C643" s="3" t="s">
        <v>506</v>
      </c>
      <c r="D643" s="3">
        <v>267</v>
      </c>
      <c r="E643" s="3">
        <v>43739</v>
      </c>
      <c r="F643" s="3">
        <v>1335</v>
      </c>
      <c r="G643" s="195">
        <v>534</v>
      </c>
    </row>
    <row r="644" spans="1:7">
      <c r="A644" s="194">
        <v>3</v>
      </c>
      <c r="B644" s="3">
        <v>616987</v>
      </c>
      <c r="C644" s="3" t="s">
        <v>508</v>
      </c>
      <c r="D644" s="3">
        <v>330</v>
      </c>
      <c r="E644" s="3">
        <v>43709</v>
      </c>
      <c r="F644" s="3">
        <v>1320</v>
      </c>
      <c r="G644" s="195">
        <v>495</v>
      </c>
    </row>
    <row r="645" spans="1:7">
      <c r="A645" s="194">
        <v>2</v>
      </c>
      <c r="B645" s="3">
        <v>633142</v>
      </c>
      <c r="C645" s="3" t="s">
        <v>509</v>
      </c>
      <c r="D645" s="3">
        <v>436.5</v>
      </c>
      <c r="E645" s="3">
        <v>44013</v>
      </c>
      <c r="F645" s="3">
        <v>1309.5</v>
      </c>
      <c r="G645" s="195">
        <v>545.625</v>
      </c>
    </row>
    <row r="646" spans="1:7">
      <c r="A646" s="194">
        <v>3</v>
      </c>
      <c r="B646" s="3">
        <v>358353</v>
      </c>
      <c r="C646" s="3" t="s">
        <v>506</v>
      </c>
      <c r="D646" s="3">
        <v>260</v>
      </c>
      <c r="E646" s="3">
        <v>43862</v>
      </c>
      <c r="F646" s="3">
        <v>1300</v>
      </c>
      <c r="G646" s="195">
        <v>520</v>
      </c>
    </row>
    <row r="647" spans="1:7">
      <c r="A647" s="194">
        <v>2</v>
      </c>
      <c r="B647" s="3">
        <v>541297</v>
      </c>
      <c r="C647" s="3" t="s">
        <v>510</v>
      </c>
      <c r="D647" s="3">
        <v>1298</v>
      </c>
      <c r="E647" s="3">
        <v>43862</v>
      </c>
      <c r="F647" s="3">
        <v>1298</v>
      </c>
      <c r="G647" s="195">
        <v>649</v>
      </c>
    </row>
    <row r="648" spans="1:7">
      <c r="A648" s="194">
        <v>5</v>
      </c>
      <c r="B648" s="3">
        <v>494850</v>
      </c>
      <c r="C648" s="3" t="s">
        <v>509</v>
      </c>
      <c r="D648" s="3">
        <v>432</v>
      </c>
      <c r="E648" s="3">
        <v>44075</v>
      </c>
      <c r="F648" s="3">
        <v>1296</v>
      </c>
      <c r="G648" s="195">
        <v>540</v>
      </c>
    </row>
    <row r="649" spans="1:7">
      <c r="A649" s="194">
        <v>3</v>
      </c>
      <c r="B649" s="3">
        <v>150101</v>
      </c>
      <c r="C649" s="3" t="s">
        <v>507</v>
      </c>
      <c r="D649" s="3">
        <v>259</v>
      </c>
      <c r="E649" s="3">
        <v>43891</v>
      </c>
      <c r="F649" s="3">
        <v>1295</v>
      </c>
      <c r="G649" s="195">
        <v>569.80000000000007</v>
      </c>
    </row>
    <row r="650" spans="1:7">
      <c r="A650" s="194">
        <v>3</v>
      </c>
      <c r="B650" s="3">
        <v>637451</v>
      </c>
      <c r="C650" s="3" t="s">
        <v>510</v>
      </c>
      <c r="D650" s="3">
        <v>1287</v>
      </c>
      <c r="E650" s="3">
        <v>44166</v>
      </c>
      <c r="F650" s="3">
        <v>1287</v>
      </c>
      <c r="G650" s="195">
        <v>643.5</v>
      </c>
    </row>
    <row r="651" spans="1:7">
      <c r="A651" s="194">
        <v>2</v>
      </c>
      <c r="B651" s="3">
        <v>566983</v>
      </c>
      <c r="C651" s="3" t="s">
        <v>506</v>
      </c>
      <c r="D651" s="3">
        <v>257</v>
      </c>
      <c r="E651" s="3">
        <v>43952</v>
      </c>
      <c r="F651" s="3">
        <v>1285</v>
      </c>
      <c r="G651" s="195">
        <v>514</v>
      </c>
    </row>
    <row r="652" spans="1:7">
      <c r="A652" s="194">
        <v>3</v>
      </c>
      <c r="B652" s="3">
        <v>781308</v>
      </c>
      <c r="C652" s="3" t="s">
        <v>510</v>
      </c>
      <c r="D652" s="3">
        <v>1283</v>
      </c>
      <c r="E652" s="3">
        <v>43709</v>
      </c>
      <c r="F652" s="3">
        <v>1283</v>
      </c>
      <c r="G652" s="195">
        <v>641.5</v>
      </c>
    </row>
    <row r="653" spans="1:7">
      <c r="A653" s="194">
        <v>1</v>
      </c>
      <c r="B653" s="3">
        <v>173001</v>
      </c>
      <c r="C653" s="3" t="s">
        <v>510</v>
      </c>
      <c r="D653" s="3">
        <v>1282</v>
      </c>
      <c r="E653" s="3">
        <v>43983</v>
      </c>
      <c r="F653" s="3">
        <v>1282</v>
      </c>
      <c r="G653" s="195">
        <v>641</v>
      </c>
    </row>
    <row r="654" spans="1:7">
      <c r="A654" s="194">
        <v>1</v>
      </c>
      <c r="B654" s="3">
        <v>350494</v>
      </c>
      <c r="C654" s="3" t="s">
        <v>509</v>
      </c>
      <c r="D654" s="3">
        <v>422</v>
      </c>
      <c r="E654" s="3">
        <v>44044</v>
      </c>
      <c r="F654" s="3">
        <v>1266</v>
      </c>
      <c r="G654" s="195">
        <v>527.5</v>
      </c>
    </row>
    <row r="655" spans="1:7">
      <c r="A655" s="194">
        <v>3</v>
      </c>
      <c r="B655" s="3">
        <v>505218</v>
      </c>
      <c r="C655" s="3" t="s">
        <v>510</v>
      </c>
      <c r="D655" s="3">
        <v>1249</v>
      </c>
      <c r="E655" s="3">
        <v>44105</v>
      </c>
      <c r="F655" s="3">
        <v>1249</v>
      </c>
      <c r="G655" s="195">
        <v>624.5</v>
      </c>
    </row>
    <row r="656" spans="1:7">
      <c r="A656" s="194">
        <v>3</v>
      </c>
      <c r="B656" s="3">
        <v>565251</v>
      </c>
      <c r="C656" s="3" t="s">
        <v>506</v>
      </c>
      <c r="D656" s="3">
        <v>241</v>
      </c>
      <c r="E656" s="3">
        <v>44105</v>
      </c>
      <c r="F656" s="3">
        <v>1205</v>
      </c>
      <c r="G656" s="195">
        <v>482</v>
      </c>
    </row>
    <row r="657" spans="1:7">
      <c r="A657" s="194">
        <v>5</v>
      </c>
      <c r="B657" s="3">
        <v>721311</v>
      </c>
      <c r="C657" s="3" t="s">
        <v>510</v>
      </c>
      <c r="D657" s="3">
        <v>1199</v>
      </c>
      <c r="E657" s="3">
        <v>43922</v>
      </c>
      <c r="F657" s="3">
        <v>1199</v>
      </c>
      <c r="G657" s="195">
        <v>599.5</v>
      </c>
    </row>
    <row r="658" spans="1:7">
      <c r="A658" s="194">
        <v>1</v>
      </c>
      <c r="B658" s="3">
        <v>469636</v>
      </c>
      <c r="C658" s="3" t="s">
        <v>510</v>
      </c>
      <c r="D658" s="3">
        <v>1186</v>
      </c>
      <c r="E658" s="3">
        <v>43800</v>
      </c>
      <c r="F658" s="3">
        <v>1186</v>
      </c>
      <c r="G658" s="195">
        <v>593</v>
      </c>
    </row>
    <row r="659" spans="1:7">
      <c r="A659" s="194">
        <v>3</v>
      </c>
      <c r="B659" s="3">
        <v>150704</v>
      </c>
      <c r="C659" s="3" t="s">
        <v>510</v>
      </c>
      <c r="D659" s="3">
        <v>1159</v>
      </c>
      <c r="E659" s="3">
        <v>43739</v>
      </c>
      <c r="F659" s="3">
        <v>1159</v>
      </c>
      <c r="G659" s="195">
        <v>579.5</v>
      </c>
    </row>
    <row r="660" spans="1:7">
      <c r="A660" s="194">
        <v>3</v>
      </c>
      <c r="B660" s="3">
        <v>464364</v>
      </c>
      <c r="C660" s="3" t="s">
        <v>509</v>
      </c>
      <c r="D660" s="3">
        <v>381</v>
      </c>
      <c r="E660" s="3">
        <v>44044</v>
      </c>
      <c r="F660" s="3">
        <v>1143</v>
      </c>
      <c r="G660" s="195">
        <v>476.25</v>
      </c>
    </row>
    <row r="661" spans="1:7">
      <c r="A661" s="194">
        <v>3</v>
      </c>
      <c r="B661" s="3">
        <v>652401</v>
      </c>
      <c r="C661" s="3" t="s">
        <v>510</v>
      </c>
      <c r="D661" s="3">
        <v>1142</v>
      </c>
      <c r="E661" s="3">
        <v>43983</v>
      </c>
      <c r="F661" s="3">
        <v>1142</v>
      </c>
      <c r="G661" s="195">
        <v>571</v>
      </c>
    </row>
    <row r="662" spans="1:7">
      <c r="A662" s="194">
        <v>4</v>
      </c>
      <c r="B662" s="3">
        <v>130685</v>
      </c>
      <c r="C662" s="3" t="s">
        <v>510</v>
      </c>
      <c r="D662" s="3">
        <v>1138</v>
      </c>
      <c r="E662" s="3">
        <v>44166</v>
      </c>
      <c r="F662" s="3">
        <v>1138</v>
      </c>
      <c r="G662" s="195">
        <v>569</v>
      </c>
    </row>
    <row r="663" spans="1:7">
      <c r="A663" s="194">
        <v>4</v>
      </c>
      <c r="B663" s="3">
        <v>684001</v>
      </c>
      <c r="C663" s="3" t="s">
        <v>508</v>
      </c>
      <c r="D663" s="3">
        <v>280</v>
      </c>
      <c r="E663" s="3">
        <v>44166</v>
      </c>
      <c r="F663" s="3">
        <v>1120</v>
      </c>
      <c r="G663" s="195">
        <v>420</v>
      </c>
    </row>
    <row r="664" spans="1:7">
      <c r="A664" s="194">
        <v>1</v>
      </c>
      <c r="B664" s="3">
        <v>830981</v>
      </c>
      <c r="C664" s="3" t="s">
        <v>510</v>
      </c>
      <c r="D664" s="3">
        <v>1100</v>
      </c>
      <c r="E664" s="3">
        <v>43800</v>
      </c>
      <c r="F664" s="3">
        <v>1100</v>
      </c>
      <c r="G664" s="195">
        <v>550</v>
      </c>
    </row>
    <row r="665" spans="1:7">
      <c r="A665" s="194">
        <v>4</v>
      </c>
      <c r="B665" s="3">
        <v>882680</v>
      </c>
      <c r="C665" s="3" t="s">
        <v>508</v>
      </c>
      <c r="D665" s="3">
        <v>274</v>
      </c>
      <c r="E665" s="3">
        <v>44166</v>
      </c>
      <c r="F665" s="3">
        <v>1096</v>
      </c>
      <c r="G665" s="195">
        <v>411</v>
      </c>
    </row>
    <row r="666" spans="1:7">
      <c r="A666" s="194">
        <v>1</v>
      </c>
      <c r="B666" s="3">
        <v>675035</v>
      </c>
      <c r="C666" s="3" t="s">
        <v>506</v>
      </c>
      <c r="D666" s="3">
        <v>218</v>
      </c>
      <c r="E666" s="3">
        <v>44075</v>
      </c>
      <c r="F666" s="3">
        <v>1090</v>
      </c>
      <c r="G666" s="195">
        <v>436</v>
      </c>
    </row>
    <row r="667" spans="1:7">
      <c r="A667" s="194">
        <v>4</v>
      </c>
      <c r="B667" s="3">
        <v>881898</v>
      </c>
      <c r="C667" s="3" t="s">
        <v>509</v>
      </c>
      <c r="D667" s="3">
        <v>360</v>
      </c>
      <c r="E667" s="3">
        <v>44105</v>
      </c>
      <c r="F667" s="3">
        <v>1080</v>
      </c>
      <c r="G667" s="195">
        <v>450</v>
      </c>
    </row>
    <row r="668" spans="1:7">
      <c r="A668" s="194">
        <v>4</v>
      </c>
      <c r="B668" s="3">
        <v>680427</v>
      </c>
      <c r="C668" s="3" t="s">
        <v>508</v>
      </c>
      <c r="D668" s="3">
        <v>263</v>
      </c>
      <c r="E668" s="3">
        <v>43770</v>
      </c>
      <c r="F668" s="3">
        <v>1052</v>
      </c>
      <c r="G668" s="195">
        <v>394.5</v>
      </c>
    </row>
    <row r="669" spans="1:7">
      <c r="A669" s="194">
        <v>1</v>
      </c>
      <c r="B669" s="3">
        <v>581507</v>
      </c>
      <c r="C669" s="3" t="s">
        <v>509</v>
      </c>
      <c r="D669" s="3">
        <v>349</v>
      </c>
      <c r="E669" s="3">
        <v>43709</v>
      </c>
      <c r="F669" s="3">
        <v>1047</v>
      </c>
      <c r="G669" s="195">
        <v>436.25</v>
      </c>
    </row>
    <row r="670" spans="1:7">
      <c r="A670" s="194">
        <v>5</v>
      </c>
      <c r="B670" s="3">
        <v>727045</v>
      </c>
      <c r="C670" s="3" t="s">
        <v>509</v>
      </c>
      <c r="D670" s="3">
        <v>341</v>
      </c>
      <c r="E670" s="3">
        <v>43952</v>
      </c>
      <c r="F670" s="3">
        <v>1023</v>
      </c>
      <c r="G670" s="195">
        <v>426.25</v>
      </c>
    </row>
    <row r="671" spans="1:7">
      <c r="A671" s="194">
        <v>1</v>
      </c>
      <c r="B671" s="3">
        <v>348844</v>
      </c>
      <c r="C671" s="3" t="s">
        <v>510</v>
      </c>
      <c r="D671" s="3">
        <v>982.5</v>
      </c>
      <c r="E671" s="3">
        <v>43831</v>
      </c>
      <c r="F671" s="3">
        <v>982.5</v>
      </c>
      <c r="G671" s="195">
        <v>491.25</v>
      </c>
    </row>
    <row r="672" spans="1:7">
      <c r="A672" s="194">
        <v>1</v>
      </c>
      <c r="B672" s="3">
        <v>503244</v>
      </c>
      <c r="C672" s="3" t="s">
        <v>510</v>
      </c>
      <c r="D672" s="3">
        <v>980</v>
      </c>
      <c r="E672" s="3">
        <v>43922</v>
      </c>
      <c r="F672" s="3">
        <v>980</v>
      </c>
      <c r="G672" s="195">
        <v>490</v>
      </c>
    </row>
    <row r="673" spans="1:7">
      <c r="A673" s="194">
        <v>3</v>
      </c>
      <c r="B673" s="3">
        <v>440487</v>
      </c>
      <c r="C673" s="3" t="s">
        <v>510</v>
      </c>
      <c r="D673" s="3">
        <v>958</v>
      </c>
      <c r="E673" s="3">
        <v>44044</v>
      </c>
      <c r="F673" s="3">
        <v>958</v>
      </c>
      <c r="G673" s="195">
        <v>479</v>
      </c>
    </row>
    <row r="674" spans="1:7">
      <c r="A674" s="194">
        <v>3</v>
      </c>
      <c r="B674" s="3">
        <v>203604</v>
      </c>
      <c r="C674" s="3" t="s">
        <v>510</v>
      </c>
      <c r="D674" s="3">
        <v>921</v>
      </c>
      <c r="E674" s="3">
        <v>43891</v>
      </c>
      <c r="F674" s="3">
        <v>921</v>
      </c>
      <c r="G674" s="195">
        <v>460.5</v>
      </c>
    </row>
    <row r="675" spans="1:7">
      <c r="A675" s="194">
        <v>1</v>
      </c>
      <c r="B675" s="3">
        <v>887151</v>
      </c>
      <c r="C675" s="3" t="s">
        <v>509</v>
      </c>
      <c r="D675" s="3">
        <v>293</v>
      </c>
      <c r="E675" s="3">
        <v>44166</v>
      </c>
      <c r="F675" s="3">
        <v>879</v>
      </c>
      <c r="G675" s="195">
        <v>366.25</v>
      </c>
    </row>
    <row r="676" spans="1:7">
      <c r="A676" s="194">
        <v>1</v>
      </c>
      <c r="B676" s="3">
        <v>893967</v>
      </c>
      <c r="C676" s="3" t="s">
        <v>508</v>
      </c>
      <c r="D676" s="3">
        <v>214</v>
      </c>
      <c r="E676" s="3">
        <v>43739</v>
      </c>
      <c r="F676" s="3">
        <v>856</v>
      </c>
      <c r="G676" s="195">
        <v>321</v>
      </c>
    </row>
    <row r="677" spans="1:7">
      <c r="A677" s="194">
        <v>3</v>
      </c>
      <c r="B677" s="3">
        <v>528145</v>
      </c>
      <c r="C677" s="3" t="s">
        <v>509</v>
      </c>
      <c r="D677" s="3">
        <v>280</v>
      </c>
      <c r="E677" s="3">
        <v>44166</v>
      </c>
      <c r="F677" s="3">
        <v>840</v>
      </c>
      <c r="G677" s="195">
        <v>350</v>
      </c>
    </row>
    <row r="678" spans="1:7">
      <c r="A678" s="194">
        <v>4</v>
      </c>
      <c r="B678" s="3">
        <v>340032</v>
      </c>
      <c r="C678" s="3" t="s">
        <v>509</v>
      </c>
      <c r="D678" s="3">
        <v>269</v>
      </c>
      <c r="E678" s="3">
        <v>43739</v>
      </c>
      <c r="F678" s="3">
        <v>807</v>
      </c>
      <c r="G678" s="195">
        <v>336.25</v>
      </c>
    </row>
    <row r="679" spans="1:7">
      <c r="A679" s="194">
        <v>1</v>
      </c>
      <c r="B679" s="3">
        <v>199727</v>
      </c>
      <c r="C679" s="3" t="s">
        <v>509</v>
      </c>
      <c r="D679" s="3">
        <v>267</v>
      </c>
      <c r="E679" s="3">
        <v>43739</v>
      </c>
      <c r="F679" s="3">
        <v>801</v>
      </c>
      <c r="G679" s="195">
        <v>333.75</v>
      </c>
    </row>
    <row r="680" spans="1:7">
      <c r="A680" s="194">
        <v>5</v>
      </c>
      <c r="B680" s="3">
        <v>454417</v>
      </c>
      <c r="C680" s="3" t="s">
        <v>509</v>
      </c>
      <c r="D680" s="3">
        <v>266</v>
      </c>
      <c r="E680" s="3">
        <v>43800</v>
      </c>
      <c r="F680" s="3">
        <v>798</v>
      </c>
      <c r="G680" s="195">
        <v>332.5</v>
      </c>
    </row>
    <row r="681" spans="1:7">
      <c r="A681" s="194">
        <v>4</v>
      </c>
      <c r="B681" s="3">
        <v>735280</v>
      </c>
      <c r="C681" s="3" t="s">
        <v>509</v>
      </c>
      <c r="D681" s="3">
        <v>263</v>
      </c>
      <c r="E681" s="3">
        <v>43891</v>
      </c>
      <c r="F681" s="3">
        <v>789</v>
      </c>
      <c r="G681" s="195">
        <v>328.75</v>
      </c>
    </row>
    <row r="682" spans="1:7">
      <c r="A682" s="194">
        <v>5</v>
      </c>
      <c r="B682" s="3">
        <v>121208</v>
      </c>
      <c r="C682" s="3" t="s">
        <v>510</v>
      </c>
      <c r="D682" s="3">
        <v>766</v>
      </c>
      <c r="E682" s="3">
        <v>43831</v>
      </c>
      <c r="F682" s="3">
        <v>766</v>
      </c>
      <c r="G682" s="195">
        <v>383</v>
      </c>
    </row>
    <row r="683" spans="1:7">
      <c r="A683" s="194">
        <v>4</v>
      </c>
      <c r="B683" s="3">
        <v>594945</v>
      </c>
      <c r="C683" s="3" t="s">
        <v>510</v>
      </c>
      <c r="D683" s="3">
        <v>720</v>
      </c>
      <c r="E683" s="3">
        <v>43709</v>
      </c>
      <c r="F683" s="3">
        <v>720</v>
      </c>
      <c r="G683" s="195">
        <v>360</v>
      </c>
    </row>
    <row r="684" spans="1:7">
      <c r="A684" s="194">
        <v>5</v>
      </c>
      <c r="B684" s="3">
        <v>711452</v>
      </c>
      <c r="C684" s="3" t="s">
        <v>510</v>
      </c>
      <c r="D684" s="3">
        <v>711</v>
      </c>
      <c r="E684" s="3">
        <v>44166</v>
      </c>
      <c r="F684" s="3">
        <v>711</v>
      </c>
      <c r="G684" s="195">
        <v>355.5</v>
      </c>
    </row>
    <row r="685" spans="1:7">
      <c r="A685" s="194">
        <v>5</v>
      </c>
      <c r="B685" s="3">
        <v>123331</v>
      </c>
      <c r="C685" s="3" t="s">
        <v>510</v>
      </c>
      <c r="D685" s="3">
        <v>708</v>
      </c>
      <c r="E685" s="3">
        <v>43983</v>
      </c>
      <c r="F685" s="3">
        <v>708</v>
      </c>
      <c r="G685" s="195">
        <v>354</v>
      </c>
    </row>
    <row r="686" spans="1:7">
      <c r="A686" s="194">
        <v>3</v>
      </c>
      <c r="B686" s="3">
        <v>676869</v>
      </c>
      <c r="C686" s="3" t="s">
        <v>510</v>
      </c>
      <c r="D686" s="3">
        <v>690</v>
      </c>
      <c r="E686" s="3">
        <v>44136</v>
      </c>
      <c r="F686" s="3">
        <v>690</v>
      </c>
      <c r="G686" s="195">
        <v>345</v>
      </c>
    </row>
    <row r="687" spans="1:7">
      <c r="A687" s="194">
        <v>3</v>
      </c>
      <c r="B687" s="3">
        <v>517456</v>
      </c>
      <c r="C687" s="3" t="s">
        <v>510</v>
      </c>
      <c r="D687" s="3">
        <v>677</v>
      </c>
      <c r="E687" s="3">
        <v>43891</v>
      </c>
      <c r="F687" s="3">
        <v>677</v>
      </c>
      <c r="G687" s="195">
        <v>338.5</v>
      </c>
    </row>
    <row r="688" spans="1:7">
      <c r="A688" s="194">
        <v>5</v>
      </c>
      <c r="B688" s="3">
        <v>625570</v>
      </c>
      <c r="C688" s="3" t="s">
        <v>510</v>
      </c>
      <c r="D688" s="3">
        <v>663</v>
      </c>
      <c r="E688" s="3">
        <v>43739</v>
      </c>
      <c r="F688" s="3">
        <v>663</v>
      </c>
      <c r="G688" s="195">
        <v>331.5</v>
      </c>
    </row>
    <row r="689" spans="1:7">
      <c r="A689" s="194">
        <v>4</v>
      </c>
      <c r="B689" s="3">
        <v>219898</v>
      </c>
      <c r="C689" s="3" t="s">
        <v>510</v>
      </c>
      <c r="D689" s="3">
        <v>645</v>
      </c>
      <c r="E689" s="3">
        <v>44013</v>
      </c>
      <c r="F689" s="3">
        <v>645</v>
      </c>
      <c r="G689" s="195">
        <v>322.5</v>
      </c>
    </row>
    <row r="690" spans="1:7">
      <c r="A690" s="194">
        <v>5</v>
      </c>
      <c r="B690" s="3">
        <v>827058</v>
      </c>
      <c r="C690" s="3" t="s">
        <v>509</v>
      </c>
      <c r="D690" s="3">
        <v>214</v>
      </c>
      <c r="E690" s="3">
        <v>43739</v>
      </c>
      <c r="F690" s="3">
        <v>642</v>
      </c>
      <c r="G690" s="195">
        <v>267.5</v>
      </c>
    </row>
    <row r="691" spans="1:7">
      <c r="A691" s="194">
        <v>3</v>
      </c>
      <c r="B691" s="3">
        <v>227728</v>
      </c>
      <c r="C691" s="3" t="s">
        <v>510</v>
      </c>
      <c r="D691" s="3">
        <v>615</v>
      </c>
      <c r="E691" s="3">
        <v>44166</v>
      </c>
      <c r="F691" s="3">
        <v>615</v>
      </c>
      <c r="G691" s="195">
        <v>307.5</v>
      </c>
    </row>
    <row r="692" spans="1:7">
      <c r="A692" s="194">
        <v>5</v>
      </c>
      <c r="B692" s="3">
        <v>280321</v>
      </c>
      <c r="C692" s="3" t="s">
        <v>510</v>
      </c>
      <c r="D692" s="3">
        <v>604</v>
      </c>
      <c r="E692" s="3">
        <v>43983</v>
      </c>
      <c r="F692" s="3">
        <v>604</v>
      </c>
      <c r="G692" s="195">
        <v>302</v>
      </c>
    </row>
    <row r="693" spans="1:7">
      <c r="A693" s="194">
        <v>2</v>
      </c>
      <c r="B693" s="3">
        <v>894001</v>
      </c>
      <c r="C693" s="3" t="s">
        <v>510</v>
      </c>
      <c r="D693" s="3">
        <v>546</v>
      </c>
      <c r="E693" s="3">
        <v>44105</v>
      </c>
      <c r="F693" s="3">
        <v>546</v>
      </c>
      <c r="G693" s="195">
        <v>273</v>
      </c>
    </row>
    <row r="694" spans="1:7">
      <c r="A694" s="194">
        <v>2</v>
      </c>
      <c r="B694" s="3">
        <v>154432</v>
      </c>
      <c r="C694" s="3" t="s">
        <v>510</v>
      </c>
      <c r="D694" s="3">
        <v>544</v>
      </c>
      <c r="E694" s="3">
        <v>44075</v>
      </c>
      <c r="F694" s="3">
        <v>544</v>
      </c>
      <c r="G694" s="195">
        <v>272</v>
      </c>
    </row>
    <row r="695" spans="1:7">
      <c r="A695" s="194">
        <v>5</v>
      </c>
      <c r="B695" s="3">
        <v>119754</v>
      </c>
      <c r="C695" s="3" t="s">
        <v>510</v>
      </c>
      <c r="D695" s="3">
        <v>488</v>
      </c>
      <c r="E695" s="3">
        <v>43862</v>
      </c>
      <c r="F695" s="3">
        <v>488</v>
      </c>
      <c r="G695" s="195">
        <v>244</v>
      </c>
    </row>
    <row r="696" spans="1:7">
      <c r="A696" s="194">
        <v>2</v>
      </c>
      <c r="B696" s="3">
        <v>397049</v>
      </c>
      <c r="C696" s="3" t="s">
        <v>510</v>
      </c>
      <c r="D696" s="3">
        <v>388</v>
      </c>
      <c r="E696" s="3">
        <v>44075</v>
      </c>
      <c r="F696" s="3">
        <v>388</v>
      </c>
      <c r="G696" s="195">
        <v>194</v>
      </c>
    </row>
    <row r="697" spans="1:7">
      <c r="A697" s="194">
        <v>5</v>
      </c>
      <c r="B697" s="3">
        <v>439030</v>
      </c>
      <c r="C697" s="3" t="s">
        <v>510</v>
      </c>
      <c r="D697" s="3">
        <v>345</v>
      </c>
      <c r="E697" s="3">
        <v>43739</v>
      </c>
      <c r="F697" s="3">
        <v>345</v>
      </c>
      <c r="G697" s="195">
        <v>172.5</v>
      </c>
    </row>
    <row r="698" spans="1:7">
      <c r="A698" s="194">
        <v>5</v>
      </c>
      <c r="B698" s="3">
        <v>254540</v>
      </c>
      <c r="C698" s="3" t="s">
        <v>510</v>
      </c>
      <c r="D698" s="3">
        <v>334</v>
      </c>
      <c r="E698" s="3">
        <v>43800</v>
      </c>
      <c r="F698" s="3">
        <v>334</v>
      </c>
      <c r="G698" s="195">
        <v>167</v>
      </c>
    </row>
    <row r="699" spans="1:7">
      <c r="A699" s="194">
        <v>2</v>
      </c>
      <c r="B699" s="3">
        <v>503591</v>
      </c>
      <c r="C699" s="3" t="s">
        <v>510</v>
      </c>
      <c r="D699" s="3">
        <v>322</v>
      </c>
      <c r="E699" s="3">
        <v>43709</v>
      </c>
      <c r="F699" s="3">
        <v>322</v>
      </c>
      <c r="G699" s="195">
        <v>161</v>
      </c>
    </row>
    <row r="700" spans="1:7">
      <c r="A700" s="194">
        <v>4</v>
      </c>
      <c r="B700" s="3">
        <v>715966</v>
      </c>
      <c r="C700" s="3" t="s">
        <v>510</v>
      </c>
      <c r="D700" s="3">
        <v>293</v>
      </c>
      <c r="E700" s="3">
        <v>43862</v>
      </c>
      <c r="F700" s="3">
        <v>293</v>
      </c>
      <c r="G700" s="195">
        <v>146.5</v>
      </c>
    </row>
    <row r="701" spans="1:7">
      <c r="A701" s="202">
        <v>2</v>
      </c>
      <c r="B701" s="203">
        <v>205221</v>
      </c>
      <c r="C701" s="203" t="s">
        <v>510</v>
      </c>
      <c r="D701" s="203">
        <v>200</v>
      </c>
      <c r="E701" s="203">
        <v>43952</v>
      </c>
      <c r="F701" s="203">
        <v>200</v>
      </c>
      <c r="G701" s="204">
        <v>100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EA7D-BD09-4981-820C-E59214F691D9}">
  <dimension ref="A1:I11"/>
  <sheetViews>
    <sheetView workbookViewId="0"/>
  </sheetViews>
  <sheetFormatPr defaultRowHeight="14.5"/>
  <sheetData>
    <row r="1" spans="1:9" ht="23.5">
      <c r="A1" s="205" t="s">
        <v>511</v>
      </c>
      <c r="B1" s="206"/>
      <c r="C1" s="206"/>
      <c r="D1" s="206"/>
    </row>
    <row r="4" spans="1:9">
      <c r="B4">
        <v>1</v>
      </c>
      <c r="C4">
        <v>2</v>
      </c>
      <c r="D4">
        <v>3</v>
      </c>
      <c r="E4">
        <v>4</v>
      </c>
      <c r="F4">
        <v>5</v>
      </c>
      <c r="G4">
        <v>6</v>
      </c>
      <c r="H4">
        <v>7</v>
      </c>
      <c r="I4">
        <v>8</v>
      </c>
    </row>
    <row r="5" spans="1:9">
      <c r="B5">
        <v>2</v>
      </c>
      <c r="C5">
        <f t="array" ref="C5:I11">B5:B11*C4:I4</f>
        <v>4</v>
      </c>
      <c r="D5">
        <v>6</v>
      </c>
      <c r="E5">
        <v>8</v>
      </c>
      <c r="F5">
        <v>10</v>
      </c>
      <c r="G5">
        <v>12</v>
      </c>
      <c r="H5">
        <v>14</v>
      </c>
      <c r="I5">
        <v>16</v>
      </c>
    </row>
    <row r="6" spans="1:9">
      <c r="B6">
        <v>3</v>
      </c>
      <c r="C6">
        <v>6</v>
      </c>
      <c r="D6">
        <v>9</v>
      </c>
      <c r="E6">
        <v>12</v>
      </c>
      <c r="F6">
        <v>15</v>
      </c>
      <c r="G6">
        <v>18</v>
      </c>
      <c r="H6">
        <v>21</v>
      </c>
      <c r="I6">
        <v>24</v>
      </c>
    </row>
    <row r="7" spans="1:9">
      <c r="B7">
        <v>4</v>
      </c>
      <c r="C7">
        <v>8</v>
      </c>
      <c r="D7">
        <v>12</v>
      </c>
      <c r="E7">
        <v>16</v>
      </c>
      <c r="F7">
        <v>20</v>
      </c>
      <c r="G7">
        <v>24</v>
      </c>
      <c r="H7">
        <v>28</v>
      </c>
      <c r="I7">
        <v>32</v>
      </c>
    </row>
    <row r="8" spans="1:9">
      <c r="B8">
        <v>5</v>
      </c>
      <c r="C8">
        <v>10</v>
      </c>
      <c r="D8">
        <v>15</v>
      </c>
      <c r="E8">
        <v>20</v>
      </c>
      <c r="F8">
        <v>25</v>
      </c>
      <c r="G8">
        <v>30</v>
      </c>
      <c r="H8">
        <v>35</v>
      </c>
      <c r="I8">
        <v>40</v>
      </c>
    </row>
    <row r="9" spans="1:9">
      <c r="B9">
        <v>6</v>
      </c>
      <c r="C9">
        <v>12</v>
      </c>
      <c r="D9">
        <v>18</v>
      </c>
      <c r="E9">
        <v>24</v>
      </c>
      <c r="F9">
        <v>30</v>
      </c>
      <c r="G9">
        <v>36</v>
      </c>
      <c r="H9">
        <v>42</v>
      </c>
      <c r="I9">
        <v>48</v>
      </c>
    </row>
    <row r="10" spans="1:9">
      <c r="B10">
        <v>7</v>
      </c>
      <c r="C10">
        <v>14</v>
      </c>
      <c r="D10">
        <v>21</v>
      </c>
      <c r="E10">
        <v>28</v>
      </c>
      <c r="F10">
        <v>35</v>
      </c>
      <c r="G10">
        <v>42</v>
      </c>
      <c r="H10">
        <v>49</v>
      </c>
      <c r="I10">
        <v>56</v>
      </c>
    </row>
    <row r="11" spans="1:9">
      <c r="B11">
        <v>8</v>
      </c>
      <c r="C11">
        <v>16</v>
      </c>
      <c r="D11">
        <v>24</v>
      </c>
      <c r="E11">
        <v>32</v>
      </c>
      <c r="F11">
        <v>40</v>
      </c>
      <c r="G11">
        <v>48</v>
      </c>
      <c r="H11">
        <v>56</v>
      </c>
      <c r="I11">
        <v>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416EE-43D8-4677-8FA1-A222B7098284}">
  <dimension ref="A1:M14"/>
  <sheetViews>
    <sheetView workbookViewId="0"/>
  </sheetViews>
  <sheetFormatPr defaultRowHeight="14.5"/>
  <sheetData>
    <row r="1" spans="1:13" ht="23.5">
      <c r="A1" s="205" t="s">
        <v>512</v>
      </c>
      <c r="B1" s="207"/>
      <c r="C1" s="208"/>
      <c r="D1" s="208"/>
      <c r="E1" s="208"/>
      <c r="F1" s="208"/>
      <c r="G1" s="208"/>
      <c r="H1" s="209"/>
      <c r="I1" s="210"/>
      <c r="J1" s="211"/>
      <c r="K1" s="211"/>
      <c r="L1" s="212"/>
    </row>
    <row r="3" spans="1:13">
      <c r="A3" s="213" t="s">
        <v>513</v>
      </c>
      <c r="B3" s="214"/>
      <c r="C3" s="215" cm="1">
        <f t="array" ref="C3:M3">TRANSPOSE(1/B4:B14)</f>
        <v>1</v>
      </c>
      <c r="D3" s="215">
        <v>1.3086846933620895</v>
      </c>
      <c r="E3" s="215">
        <v>1.28605453900089</v>
      </c>
      <c r="F3" s="215">
        <v>0.99840953361295459</v>
      </c>
      <c r="G3" s="215">
        <v>6.6516782184145056</v>
      </c>
      <c r="H3" s="215">
        <v>0.85958506109930621</v>
      </c>
      <c r="I3" s="215">
        <v>0.76170396223167081</v>
      </c>
      <c r="J3" s="215">
        <v>64.884505580067483</v>
      </c>
      <c r="K3" s="215">
        <v>114.15525114155251</v>
      </c>
      <c r="L3" s="215">
        <v>4.2407562116476614</v>
      </c>
      <c r="M3">
        <v>1.3678636841766896</v>
      </c>
    </row>
    <row r="4" spans="1:13">
      <c r="A4" s="213" t="s">
        <v>514</v>
      </c>
      <c r="B4" s="216">
        <v>1</v>
      </c>
      <c r="C4" s="216" cm="1">
        <f t="array" ref="C4:M4">TRANSPOSE(B4/$B$4:$B$14)</f>
        <v>1</v>
      </c>
      <c r="D4" s="216">
        <v>1.3086846933620895</v>
      </c>
      <c r="E4" s="216">
        <v>1.28605453900089</v>
      </c>
      <c r="F4" s="216">
        <v>0.99840953361295459</v>
      </c>
      <c r="G4" s="216">
        <v>6.6516782184145056</v>
      </c>
      <c r="H4" s="216">
        <v>0.85958506109930621</v>
      </c>
      <c r="I4" s="216">
        <v>0.76170396223167081</v>
      </c>
      <c r="J4" s="216">
        <v>64.884505580067483</v>
      </c>
      <c r="K4" s="216">
        <v>114.15525114155251</v>
      </c>
      <c r="L4" s="216">
        <v>4.2407562116476614</v>
      </c>
      <c r="M4">
        <v>1.3678636841766896</v>
      </c>
    </row>
    <row r="5" spans="1:13">
      <c r="A5" s="217" t="s">
        <v>515</v>
      </c>
      <c r="B5" s="216">
        <f>INDEX('[1]Current Rates'!$C$4:$C$13,MATCH('[1]Conversion Table'!A5,rateCodes,0))</f>
        <v>0.76412599999999997</v>
      </c>
      <c r="C5" s="216" cm="1">
        <f t="array" ref="C5:M5">TRANSPOSE(B5/$B$4:$B$14)</f>
        <v>0.76412599999999997</v>
      </c>
      <c r="D5" s="216">
        <v>1</v>
      </c>
      <c r="E5" s="216">
        <v>0.98270771066859397</v>
      </c>
      <c r="F5" s="216">
        <v>0.76291068328153255</v>
      </c>
      <c r="G5" s="216">
        <v>5.0827202703242023</v>
      </c>
      <c r="H5" s="216">
        <v>0.65683129439756838</v>
      </c>
      <c r="I5" s="216">
        <v>0.58203780184423759</v>
      </c>
      <c r="J5" s="216">
        <v>49.579937710874638</v>
      </c>
      <c r="K5" s="216">
        <v>87.228995433789947</v>
      </c>
      <c r="L5" s="216">
        <v>3.2404720809814807</v>
      </c>
      <c r="M5">
        <v>1.0452202055351971</v>
      </c>
    </row>
    <row r="6" spans="1:13">
      <c r="A6" s="217" t="s">
        <v>516</v>
      </c>
      <c r="B6" s="216">
        <f>INDEX('[1]Current Rates'!$C$4:$C$13,MATCH('[1]Conversion Table'!A6,rateCodes,0))</f>
        <v>0.77757200000000004</v>
      </c>
      <c r="C6" s="216" cm="1">
        <f t="array" ref="C6:M6">TRANSPOSE(B6/$B$4:$B$14)</f>
        <v>0.77757200000000004</v>
      </c>
      <c r="D6" s="216">
        <v>1.0175965743869468</v>
      </c>
      <c r="E6" s="216">
        <v>1</v>
      </c>
      <c r="F6" s="216">
        <v>0.77633529787049238</v>
      </c>
      <c r="G6" s="216">
        <v>5.1721587356490044</v>
      </c>
      <c r="H6" s="216">
        <v>0.66838927512910973</v>
      </c>
      <c r="I6" s="216">
        <v>0.59227967332040476</v>
      </c>
      <c r="J6" s="216">
        <v>50.452374772904228</v>
      </c>
      <c r="K6" s="216">
        <v>88.763926940639266</v>
      </c>
      <c r="L6" s="216">
        <v>3.2974932890032953</v>
      </c>
      <c r="M6">
        <v>1.0636125006326369</v>
      </c>
    </row>
    <row r="7" spans="1:13">
      <c r="A7" s="217" t="s">
        <v>517</v>
      </c>
      <c r="B7" s="216">
        <f>INDEX('[1]Current Rates'!$C$4:$C$13,MATCH('[1]Conversion Table'!A7,rateCodes,0))</f>
        <v>1.001593</v>
      </c>
      <c r="C7" s="216" cm="1">
        <f t="array" ref="C7:M7">TRANSPOSE(B7/$B$4:$B$14)</f>
        <v>1.001593</v>
      </c>
      <c r="D7" s="216">
        <v>1.3107694280786153</v>
      </c>
      <c r="E7" s="216">
        <v>1.2881032238815182</v>
      </c>
      <c r="F7" s="216">
        <v>1</v>
      </c>
      <c r="G7" s="216">
        <v>6.6622743418164401</v>
      </c>
      <c r="H7" s="216">
        <v>0.86095438010163738</v>
      </c>
      <c r="I7" s="216">
        <v>0.7629173566435058</v>
      </c>
      <c r="J7" s="216">
        <v>64.987866597456517</v>
      </c>
      <c r="K7" s="216">
        <v>114.33710045662099</v>
      </c>
      <c r="L7" s="216">
        <v>4.2475117362928154</v>
      </c>
      <c r="M7">
        <v>1.370042691025583</v>
      </c>
    </row>
    <row r="8" spans="1:13">
      <c r="A8" s="217" t="s">
        <v>518</v>
      </c>
      <c r="B8" s="216">
        <f>INDEX('[1]Current Rates'!$C$4:$C$13,MATCH('[1]Conversion Table'!A8,rateCodes,0))</f>
        <v>0.150338</v>
      </c>
      <c r="C8" s="216" cm="1">
        <f t="array" ref="C8:M8">TRANSPOSE(B8/$B$4:$B$14)</f>
        <v>0.150338</v>
      </c>
      <c r="D8" s="216">
        <v>0.19674503943066982</v>
      </c>
      <c r="E8" s="216">
        <v>0.19334286728431579</v>
      </c>
      <c r="F8" s="216">
        <v>0.15009889246430436</v>
      </c>
      <c r="G8" s="216">
        <v>1</v>
      </c>
      <c r="H8" s="216">
        <v>0.12922829891554749</v>
      </c>
      <c r="I8" s="216">
        <v>0.11451305027398492</v>
      </c>
      <c r="J8" s="216">
        <v>9.7546067998961838</v>
      </c>
      <c r="K8" s="216">
        <v>17.161872146118721</v>
      </c>
      <c r="L8" s="216">
        <v>0.63754680734668612</v>
      </c>
      <c r="M8">
        <v>0.20564189055175516</v>
      </c>
    </row>
    <row r="9" spans="1:13">
      <c r="A9" s="217" t="s">
        <v>519</v>
      </c>
      <c r="B9" s="216">
        <f>INDEX('[1]Current Rates'!$C$4:$C$13,MATCH('[1]Conversion Table'!A9,rateCodes,0))</f>
        <v>1.1633519999999999</v>
      </c>
      <c r="C9" s="216" cm="1">
        <f t="array" ref="C9:M9">TRANSPOSE(B9/$B$4:$B$14)</f>
        <v>1.1633519999999999</v>
      </c>
      <c r="D9" s="216">
        <v>1.5224609553921735</v>
      </c>
      <c r="E9" s="216">
        <v>1.4961341200557632</v>
      </c>
      <c r="F9" s="216">
        <v>1.161501727747698</v>
      </c>
      <c r="G9" s="216">
        <v>7.7382431587489524</v>
      </c>
      <c r="H9" s="216">
        <v>1</v>
      </c>
      <c r="I9" s="216">
        <v>0.88612982787013861</v>
      </c>
      <c r="J9" s="216">
        <v>75.483519335582656</v>
      </c>
      <c r="K9" s="216">
        <v>132.8027397260274</v>
      </c>
      <c r="L9" s="216">
        <v>4.93349222033273</v>
      </c>
      <c r="M9">
        <v>1.5913069527143202</v>
      </c>
    </row>
    <row r="10" spans="1:13">
      <c r="A10" s="217" t="s">
        <v>520</v>
      </c>
      <c r="B10" s="216">
        <f>INDEX('[1]Current Rates'!$C$4:$C$13,MATCH('[1]Conversion Table'!A10,rateCodes,0))</f>
        <v>1.312846</v>
      </c>
      <c r="C10" s="216" cm="1">
        <f t="array" ref="C10:M10">TRANSPOSE(B10/$B$4:$B$14)</f>
        <v>1.312846</v>
      </c>
      <c r="D10" s="216">
        <v>1.7181014649416457</v>
      </c>
      <c r="E10" s="216">
        <v>1.6883915573091621</v>
      </c>
      <c r="F10" s="216">
        <v>1.3107579625656329</v>
      </c>
      <c r="G10" s="216">
        <v>8.7326291423326108</v>
      </c>
      <c r="H10" s="216">
        <v>1.1285028091239797</v>
      </c>
      <c r="I10" s="216">
        <v>1</v>
      </c>
      <c r="J10" s="216">
        <v>85.18336361276927</v>
      </c>
      <c r="K10" s="216">
        <v>149.86826484018263</v>
      </c>
      <c r="L10" s="216">
        <v>5.5674598294367854</v>
      </c>
      <c r="M10">
        <v>1.7957943663166303</v>
      </c>
    </row>
    <row r="11" spans="1:13">
      <c r="A11" s="217" t="s">
        <v>521</v>
      </c>
      <c r="B11" s="216">
        <f>INDEX('[1]Current Rates'!$C$4:$C$13,MATCH('[1]Conversion Table'!A11,rateCodes,0))</f>
        <v>1.5412E-2</v>
      </c>
      <c r="C11" s="216" cm="1">
        <f t="array" ref="C11:M11">TRANSPOSE(B11/$B$4:$B$14)</f>
        <v>1.5412E-2</v>
      </c>
      <c r="D11" s="216">
        <v>2.0169448494096524E-2</v>
      </c>
      <c r="E11" s="216">
        <v>1.9820672555081714E-2</v>
      </c>
      <c r="F11" s="216">
        <v>1.5387487732042857E-2</v>
      </c>
      <c r="G11" s="216">
        <v>0.10251566470220437</v>
      </c>
      <c r="H11" s="216">
        <v>1.3247924961662508E-2</v>
      </c>
      <c r="I11" s="216">
        <v>1.173938146591451E-2</v>
      </c>
      <c r="J11" s="216">
        <v>1</v>
      </c>
      <c r="K11" s="216">
        <v>1.7593607305936072</v>
      </c>
      <c r="L11" s="216">
        <v>6.5358534733913759E-2</v>
      </c>
      <c r="M11">
        <v>2.1081515100531141E-2</v>
      </c>
    </row>
    <row r="12" spans="1:13">
      <c r="A12" s="217" t="s">
        <v>522</v>
      </c>
      <c r="B12" s="216">
        <f>INDEX('[1]Current Rates'!$C$4:$C$13,MATCH('[1]Conversion Table'!A12,rateCodes,0))</f>
        <v>8.7600000000000004E-3</v>
      </c>
      <c r="C12" s="216" cm="1">
        <f t="array" ref="C12:M12">TRANSPOSE(B12/$B$4:$B$14)</f>
        <v>8.7600000000000004E-3</v>
      </c>
      <c r="D12" s="216">
        <v>1.1464077913851905E-2</v>
      </c>
      <c r="E12" s="216">
        <v>1.1265837761647796E-2</v>
      </c>
      <c r="F12" s="216">
        <v>8.7460675144494827E-3</v>
      </c>
      <c r="G12" s="216">
        <v>5.8268701193311075E-2</v>
      </c>
      <c r="H12" s="216">
        <v>7.5299651352299223E-3</v>
      </c>
      <c r="I12" s="216">
        <v>6.672526709149436E-3</v>
      </c>
      <c r="J12" s="216">
        <v>0.56838826888139116</v>
      </c>
      <c r="K12" s="216">
        <v>1</v>
      </c>
      <c r="L12" s="216">
        <v>3.7149024414033512E-2</v>
      </c>
      <c r="M12">
        <v>1.1982485873387802E-2</v>
      </c>
    </row>
    <row r="13" spans="1:13">
      <c r="A13" s="217" t="s">
        <v>523</v>
      </c>
      <c r="B13" s="216">
        <f>INDEX('[1]Current Rates'!$C$4:$C$13,MATCH('[1]Conversion Table'!A13,rateCodes,0))</f>
        <v>0.23580699999999999</v>
      </c>
      <c r="C13" s="216" cm="1">
        <f t="array" ref="C13:M13">TRANSPOSE(B13/$B$4:$B$14)</f>
        <v>0.23580699999999999</v>
      </c>
      <c r="D13" s="216">
        <v>0.30859701148763424</v>
      </c>
      <c r="E13" s="216">
        <v>0.3032606626781828</v>
      </c>
      <c r="F13" s="216">
        <v>0.23543195689266996</v>
      </c>
      <c r="G13" s="216">
        <v>1.5685122856496694</v>
      </c>
      <c r="H13" s="216">
        <v>0.20269617450264407</v>
      </c>
      <c r="I13" s="216">
        <v>0.17961512622196357</v>
      </c>
      <c r="J13" s="216">
        <v>15.300220607318971</v>
      </c>
      <c r="K13" s="216">
        <v>26.918607305936071</v>
      </c>
      <c r="L13" s="216">
        <v>1</v>
      </c>
      <c r="M13">
        <v>0.32255183177465263</v>
      </c>
    </row>
    <row r="14" spans="1:13">
      <c r="A14" s="217" t="s">
        <v>524</v>
      </c>
      <c r="B14" s="216">
        <f>INDEX('[1]Current Rates'!$C$4:$C$13,MATCH('[1]Conversion Table'!A14,rateCodes,0))</f>
        <v>0.73106700000000002</v>
      </c>
      <c r="C14" s="216" cm="1">
        <f t="array" ref="C14:M14">TRANSPOSE(B14/$B$4:$B$14)</f>
        <v>0.73106700000000002</v>
      </c>
      <c r="D14" s="216">
        <v>0.95673619272214272</v>
      </c>
      <c r="E14" s="216">
        <v>0.94019203366376358</v>
      </c>
      <c r="F14" s="216">
        <v>0.72990426250982188</v>
      </c>
      <c r="G14" s="216">
        <v>4.8628224401016382</v>
      </c>
      <c r="H14" s="216">
        <v>0.6284142718626865</v>
      </c>
      <c r="I14" s="216">
        <v>0.55685663055682089</v>
      </c>
      <c r="J14" s="216">
        <v>47.434920840903196</v>
      </c>
      <c r="K14" s="216">
        <v>83.455136986301369</v>
      </c>
      <c r="L14" s="216">
        <v>3.1002769213806207</v>
      </c>
      <c r="M14">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633F-7A9E-47B5-BA1C-7F12A41EB4CF}">
  <dimension ref="A1:AB21"/>
  <sheetViews>
    <sheetView workbookViewId="0"/>
  </sheetViews>
  <sheetFormatPr defaultRowHeight="14.5"/>
  <cols>
    <col min="1" max="1" width="25" bestFit="1" customWidth="1"/>
    <col min="2" max="2" width="12.26953125" customWidth="1"/>
    <col min="3" max="3" width="13.26953125" bestFit="1" customWidth="1"/>
    <col min="4" max="4" width="8.7265625" style="219"/>
    <col min="27" max="27" width="25" bestFit="1" customWidth="1"/>
  </cols>
  <sheetData>
    <row r="1" spans="1:28" ht="34.5" customHeight="1">
      <c r="A1" s="205" t="s">
        <v>525</v>
      </c>
      <c r="B1" s="207"/>
      <c r="C1" s="208"/>
      <c r="D1" s="218"/>
    </row>
    <row r="2" spans="1:28">
      <c r="AA2" t="s">
        <v>526</v>
      </c>
      <c r="AB2" s="220" t="s">
        <v>514</v>
      </c>
    </row>
    <row r="3" spans="1:28">
      <c r="A3" s="190" t="s">
        <v>526</v>
      </c>
      <c r="B3" s="190" t="s">
        <v>527</v>
      </c>
      <c r="C3" s="190" t="s">
        <v>528</v>
      </c>
      <c r="D3" s="221" t="str">
        <f>_xlfn.IFNA(VLOOKUP(A3,CodeLookup,2,0),"")</f>
        <v>USD</v>
      </c>
      <c r="AA3" t="s">
        <v>529</v>
      </c>
      <c r="AB3" s="220" t="s">
        <v>515</v>
      </c>
    </row>
    <row r="4" spans="1:28">
      <c r="A4" t="s">
        <v>530</v>
      </c>
      <c r="B4">
        <v>0.85958500000000004</v>
      </c>
      <c r="C4">
        <v>1.1633519999999999</v>
      </c>
      <c r="D4" s="222" t="str">
        <f t="shared" ref="D4:D13" si="0">_xlfn.IFNA(VLOOKUP(A4,CodeLookup,2,0),"")</f>
        <v>EUR</v>
      </c>
      <c r="AA4" t="s">
        <v>531</v>
      </c>
      <c r="AB4" s="220" t="s">
        <v>516</v>
      </c>
    </row>
    <row r="5" spans="1:28">
      <c r="A5" t="s">
        <v>532</v>
      </c>
      <c r="B5">
        <v>0.76170400000000005</v>
      </c>
      <c r="C5">
        <v>1.312846</v>
      </c>
      <c r="D5" s="222" t="str">
        <f t="shared" si="0"/>
        <v>GBP</v>
      </c>
      <c r="AA5" t="s">
        <v>533</v>
      </c>
      <c r="AB5" s="220" t="s">
        <v>517</v>
      </c>
    </row>
    <row r="6" spans="1:28">
      <c r="A6" t="s">
        <v>534</v>
      </c>
      <c r="B6">
        <v>64.884649999999993</v>
      </c>
      <c r="C6">
        <v>1.5412E-2</v>
      </c>
      <c r="D6" s="222" t="str">
        <f t="shared" si="0"/>
        <v>INR</v>
      </c>
      <c r="AA6" t="s">
        <v>535</v>
      </c>
      <c r="AB6" s="220" t="s">
        <v>518</v>
      </c>
    </row>
    <row r="7" spans="1:28">
      <c r="A7" t="s">
        <v>529</v>
      </c>
      <c r="B7">
        <v>1.308684</v>
      </c>
      <c r="C7">
        <v>0.76412599999999997</v>
      </c>
      <c r="D7" s="222" t="str">
        <f t="shared" si="0"/>
        <v>AUD</v>
      </c>
      <c r="AA7" t="s">
        <v>530</v>
      </c>
      <c r="AB7" s="220" t="s">
        <v>519</v>
      </c>
    </row>
    <row r="8" spans="1:28">
      <c r="A8" t="s">
        <v>531</v>
      </c>
      <c r="B8">
        <v>1.2860549999999999</v>
      </c>
      <c r="C8">
        <v>0.77757200000000004</v>
      </c>
      <c r="D8" s="222" t="str">
        <f t="shared" si="0"/>
        <v>CAD</v>
      </c>
      <c r="AA8" t="s">
        <v>532</v>
      </c>
      <c r="AB8" s="220" t="s">
        <v>520</v>
      </c>
    </row>
    <row r="9" spans="1:28">
      <c r="A9" t="s">
        <v>536</v>
      </c>
      <c r="B9">
        <v>1.367864</v>
      </c>
      <c r="C9">
        <v>0.73106700000000002</v>
      </c>
      <c r="D9" s="222" t="str">
        <f t="shared" si="0"/>
        <v>SGD</v>
      </c>
      <c r="AA9" t="s">
        <v>534</v>
      </c>
      <c r="AB9" s="220" t="s">
        <v>521</v>
      </c>
    </row>
    <row r="10" spans="1:28">
      <c r="A10" t="s">
        <v>533</v>
      </c>
      <c r="B10">
        <v>0.99840899999999999</v>
      </c>
      <c r="C10">
        <v>1.001593</v>
      </c>
      <c r="D10" s="222" t="str">
        <f t="shared" si="0"/>
        <v>CHF</v>
      </c>
      <c r="AA10" t="s">
        <v>537</v>
      </c>
      <c r="AB10" s="220" t="s">
        <v>522</v>
      </c>
    </row>
    <row r="11" spans="1:28">
      <c r="A11" t="s">
        <v>538</v>
      </c>
      <c r="B11">
        <v>4.2407550000000001</v>
      </c>
      <c r="C11">
        <v>0.23580699999999999</v>
      </c>
      <c r="D11" s="222" t="str">
        <f t="shared" si="0"/>
        <v>MYR</v>
      </c>
      <c r="AA11" t="s">
        <v>538</v>
      </c>
      <c r="AB11" s="220" t="s">
        <v>523</v>
      </c>
    </row>
    <row r="12" spans="1:28">
      <c r="A12" t="s">
        <v>537</v>
      </c>
      <c r="B12">
        <v>114.157676</v>
      </c>
      <c r="C12">
        <v>8.7600000000000004E-3</v>
      </c>
      <c r="D12" s="222" t="str">
        <f t="shared" si="0"/>
        <v>JPY</v>
      </c>
      <c r="AA12" t="s">
        <v>536</v>
      </c>
      <c r="AB12" s="220" t="s">
        <v>524</v>
      </c>
    </row>
    <row r="13" spans="1:28">
      <c r="A13" t="s">
        <v>535</v>
      </c>
      <c r="B13">
        <v>6.6516849999999996</v>
      </c>
      <c r="C13">
        <v>0.150338</v>
      </c>
      <c r="D13" s="222" t="str">
        <f t="shared" si="0"/>
        <v>CNY</v>
      </c>
    </row>
    <row r="21" spans="1:1">
      <c r="A21" s="223" t="s">
        <v>539</v>
      </c>
    </row>
  </sheetData>
  <hyperlinks>
    <hyperlink ref="A21" r:id="rId1" xr:uid="{7DEF3ACC-6638-402F-9419-1D0083AD9667}"/>
  </hyperlinks>
  <pageMargins left="0.7" right="0.7" top="0.75" bottom="0.75" header="0.3" footer="0.3"/>
  <pageSetup paperSize="9" orientation="portrait" horizontalDpi="75" verticalDpi="75"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4973-253B-4F7F-8FEA-005C33F90031}">
  <dimension ref="A1:M5"/>
  <sheetViews>
    <sheetView workbookViewId="0"/>
  </sheetViews>
  <sheetFormatPr defaultRowHeight="14.5"/>
  <cols>
    <col min="1" max="1" width="26.81640625" customWidth="1"/>
  </cols>
  <sheetData>
    <row r="1" spans="1:13" ht="23.5">
      <c r="A1" s="205" t="s">
        <v>540</v>
      </c>
      <c r="B1" s="206"/>
    </row>
    <row r="3" spans="1:13">
      <c r="A3" s="3"/>
      <c r="B3" s="3" t="s">
        <v>92</v>
      </c>
      <c r="C3" s="3" t="s">
        <v>93</v>
      </c>
      <c r="D3" s="3" t="s">
        <v>94</v>
      </c>
      <c r="E3" s="3" t="s">
        <v>95</v>
      </c>
      <c r="F3" s="3" t="s">
        <v>131</v>
      </c>
      <c r="G3" s="3" t="s">
        <v>134</v>
      </c>
      <c r="H3" s="3" t="s">
        <v>135</v>
      </c>
      <c r="I3" s="3" t="s">
        <v>137</v>
      </c>
      <c r="J3" s="3" t="s">
        <v>138</v>
      </c>
      <c r="K3" s="3" t="s">
        <v>140</v>
      </c>
      <c r="L3" s="3" t="s">
        <v>141</v>
      </c>
      <c r="M3" s="3" t="s">
        <v>143</v>
      </c>
    </row>
    <row r="4" spans="1:13" ht="16.5">
      <c r="A4" s="3" t="s">
        <v>541</v>
      </c>
      <c r="B4" s="3">
        <v>6</v>
      </c>
      <c r="C4" s="3">
        <v>7</v>
      </c>
      <c r="D4" s="3">
        <v>12</v>
      </c>
      <c r="E4" s="3">
        <v>21</v>
      </c>
      <c r="F4" s="3">
        <v>24</v>
      </c>
      <c r="G4" s="3">
        <v>25</v>
      </c>
      <c r="H4" s="3">
        <v>22</v>
      </c>
      <c r="I4" s="3">
        <v>21</v>
      </c>
      <c r="J4" s="3">
        <v>19</v>
      </c>
      <c r="K4" s="3">
        <v>12</v>
      </c>
      <c r="L4" s="3">
        <v>7</v>
      </c>
      <c r="M4" s="3">
        <v>2</v>
      </c>
    </row>
    <row r="5" spans="1:13">
      <c r="A5" s="3" t="s">
        <v>542</v>
      </c>
      <c r="B5" s="3">
        <v>90</v>
      </c>
      <c r="C5" s="3">
        <v>70</v>
      </c>
      <c r="D5" s="3">
        <v>80</v>
      </c>
      <c r="E5" s="3">
        <v>50</v>
      </c>
      <c r="F5" s="3">
        <v>89</v>
      </c>
      <c r="G5" s="3">
        <v>79</v>
      </c>
      <c r="H5" s="3">
        <v>88</v>
      </c>
      <c r="I5" s="3">
        <v>87</v>
      </c>
      <c r="J5" s="3">
        <v>60</v>
      </c>
      <c r="K5" s="3">
        <v>95</v>
      </c>
      <c r="L5" s="3">
        <v>93</v>
      </c>
      <c r="M5" s="3">
        <v>77</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BCD4-9420-40EC-BADF-4B5F062C6ECD}">
  <dimension ref="A1:K38"/>
  <sheetViews>
    <sheetView topLeftCell="A22" zoomScale="115" zoomScaleNormal="115" workbookViewId="0">
      <selection activeCell="E15" sqref="E15"/>
    </sheetView>
  </sheetViews>
  <sheetFormatPr defaultColWidth="9.1796875" defaultRowHeight="14.25" customHeight="1"/>
  <cols>
    <col min="1" max="8" width="14.1796875" style="112" customWidth="1"/>
    <col min="9" max="9" width="14.1796875" style="79" customWidth="1"/>
    <col min="10" max="10" width="9.1796875" style="79"/>
    <col min="11" max="11" width="46" style="79" customWidth="1"/>
    <col min="12" max="16384" width="9.1796875" style="79"/>
  </cols>
  <sheetData>
    <row r="1" spans="1:11" ht="24.75" customHeight="1">
      <c r="A1" s="224" t="s">
        <v>543</v>
      </c>
      <c r="B1" s="224" t="s">
        <v>430</v>
      </c>
      <c r="C1" s="224" t="s">
        <v>431</v>
      </c>
      <c r="D1" s="224" t="s">
        <v>544</v>
      </c>
      <c r="E1" s="224" t="s">
        <v>545</v>
      </c>
      <c r="F1" s="224" t="s">
        <v>546</v>
      </c>
      <c r="G1" s="224" t="s">
        <v>547</v>
      </c>
      <c r="H1" s="224" t="s">
        <v>548</v>
      </c>
      <c r="I1" s="224" t="s">
        <v>549</v>
      </c>
    </row>
    <row r="2" spans="1:11" ht="14.25" customHeight="1">
      <c r="A2" s="225">
        <v>1054</v>
      </c>
      <c r="B2" s="225" t="s">
        <v>147</v>
      </c>
      <c r="C2" s="225" t="s">
        <v>144</v>
      </c>
      <c r="D2" s="225" t="s">
        <v>550</v>
      </c>
      <c r="E2" s="225" t="s">
        <v>551</v>
      </c>
      <c r="F2" s="225">
        <v>148</v>
      </c>
      <c r="G2" s="225" t="s">
        <v>552</v>
      </c>
      <c r="H2" s="226">
        <v>33344</v>
      </c>
      <c r="I2" s="227">
        <v>11.25</v>
      </c>
    </row>
    <row r="3" spans="1:11" ht="14.25" customHeight="1">
      <c r="A3" s="225">
        <v>1056</v>
      </c>
      <c r="B3" s="225" t="s">
        <v>434</v>
      </c>
      <c r="C3" s="225" t="s">
        <v>435</v>
      </c>
      <c r="D3" s="225" t="s">
        <v>550</v>
      </c>
      <c r="E3" s="225" t="s">
        <v>553</v>
      </c>
      <c r="F3" s="225">
        <v>121</v>
      </c>
      <c r="G3" s="225" t="s">
        <v>552</v>
      </c>
      <c r="H3" s="226">
        <v>29153</v>
      </c>
      <c r="I3" s="227">
        <v>12.25</v>
      </c>
    </row>
    <row r="4" spans="1:11" ht="14.25" customHeight="1">
      <c r="A4" s="225">
        <v>1067</v>
      </c>
      <c r="B4" s="225" t="s">
        <v>436</v>
      </c>
      <c r="C4" s="225" t="s">
        <v>437</v>
      </c>
      <c r="D4" s="225" t="s">
        <v>550</v>
      </c>
      <c r="E4" s="225" t="s">
        <v>554</v>
      </c>
      <c r="F4" s="225">
        <v>123</v>
      </c>
      <c r="G4" s="225" t="s">
        <v>552</v>
      </c>
      <c r="H4" s="226">
        <v>32040</v>
      </c>
      <c r="I4" s="227">
        <v>14.55</v>
      </c>
      <c r="K4" s="228" t="s">
        <v>555</v>
      </c>
    </row>
    <row r="5" spans="1:11" ht="14.25" customHeight="1">
      <c r="A5" s="225">
        <v>1075</v>
      </c>
      <c r="B5" s="225" t="s">
        <v>440</v>
      </c>
      <c r="C5" s="225" t="s">
        <v>441</v>
      </c>
      <c r="D5" s="225" t="s">
        <v>556</v>
      </c>
      <c r="E5" s="225" t="s">
        <v>557</v>
      </c>
      <c r="F5" s="225">
        <v>126</v>
      </c>
      <c r="G5" s="225" t="s">
        <v>558</v>
      </c>
      <c r="H5" s="226">
        <v>33823</v>
      </c>
      <c r="I5" s="227">
        <v>11.25</v>
      </c>
      <c r="K5" s="228" t="s">
        <v>559</v>
      </c>
    </row>
    <row r="6" spans="1:11" ht="14.25" customHeight="1">
      <c r="A6" s="225">
        <v>1078</v>
      </c>
      <c r="B6" s="225" t="s">
        <v>442</v>
      </c>
      <c r="C6" s="225" t="s">
        <v>443</v>
      </c>
      <c r="D6" s="225" t="s">
        <v>560</v>
      </c>
      <c r="E6" s="225" t="s">
        <v>561</v>
      </c>
      <c r="F6" s="225">
        <v>101</v>
      </c>
      <c r="G6" s="225" t="s">
        <v>558</v>
      </c>
      <c r="H6" s="226">
        <v>31503</v>
      </c>
      <c r="I6" s="227">
        <v>10.199999999999999</v>
      </c>
      <c r="K6" s="228" t="s">
        <v>562</v>
      </c>
    </row>
    <row r="7" spans="1:11" ht="14.25" customHeight="1">
      <c r="A7" s="225">
        <v>1152</v>
      </c>
      <c r="B7" s="225" t="s">
        <v>445</v>
      </c>
      <c r="C7" s="225" t="s">
        <v>446</v>
      </c>
      <c r="D7" s="225" t="s">
        <v>556</v>
      </c>
      <c r="E7" s="225" t="s">
        <v>563</v>
      </c>
      <c r="F7" s="225">
        <v>123</v>
      </c>
      <c r="G7" s="225" t="s">
        <v>558</v>
      </c>
      <c r="H7" s="226">
        <v>32894</v>
      </c>
      <c r="I7" s="227">
        <v>12.25</v>
      </c>
      <c r="K7" s="228" t="s">
        <v>564</v>
      </c>
    </row>
    <row r="8" spans="1:11" ht="14.25" customHeight="1">
      <c r="A8" s="225">
        <v>1196</v>
      </c>
      <c r="B8" s="225" t="s">
        <v>447</v>
      </c>
      <c r="C8" s="225" t="s">
        <v>448</v>
      </c>
      <c r="D8" s="225" t="s">
        <v>565</v>
      </c>
      <c r="E8" s="225" t="s">
        <v>566</v>
      </c>
      <c r="F8" s="225">
        <v>289</v>
      </c>
      <c r="G8" s="225" t="s">
        <v>567</v>
      </c>
      <c r="H8" s="226">
        <v>35886</v>
      </c>
      <c r="I8" s="227">
        <v>9.9499999999999993</v>
      </c>
    </row>
    <row r="9" spans="1:11" ht="14.25" customHeight="1">
      <c r="A9" s="225">
        <v>1284</v>
      </c>
      <c r="B9" s="225" t="s">
        <v>449</v>
      </c>
      <c r="C9" s="225" t="s">
        <v>450</v>
      </c>
      <c r="D9" s="225" t="s">
        <v>568</v>
      </c>
      <c r="E9" s="225" t="s">
        <v>569</v>
      </c>
      <c r="F9" s="225">
        <v>124</v>
      </c>
      <c r="G9" s="225" t="s">
        <v>552</v>
      </c>
      <c r="H9" s="226">
        <v>31051</v>
      </c>
      <c r="I9" s="227">
        <v>12.3</v>
      </c>
      <c r="K9" s="228" t="s">
        <v>570</v>
      </c>
    </row>
    <row r="10" spans="1:11" ht="14.25" customHeight="1">
      <c r="A10" s="225">
        <v>1290</v>
      </c>
      <c r="B10" s="225" t="s">
        <v>451</v>
      </c>
      <c r="C10" s="225" t="s">
        <v>452</v>
      </c>
      <c r="D10" s="225" t="s">
        <v>556</v>
      </c>
      <c r="E10" s="225" t="s">
        <v>571</v>
      </c>
      <c r="F10" s="225">
        <v>113</v>
      </c>
      <c r="G10" s="225" t="s">
        <v>558</v>
      </c>
      <c r="H10" s="226">
        <v>31050</v>
      </c>
      <c r="I10" s="227">
        <v>13.25</v>
      </c>
      <c r="K10" s="228" t="s">
        <v>572</v>
      </c>
    </row>
    <row r="11" spans="1:11" ht="14.25" customHeight="1">
      <c r="A11" s="225">
        <v>1293</v>
      </c>
      <c r="B11" s="225" t="s">
        <v>453</v>
      </c>
      <c r="C11" s="225" t="s">
        <v>454</v>
      </c>
      <c r="D11" s="225" t="s">
        <v>565</v>
      </c>
      <c r="E11" s="225" t="s">
        <v>573</v>
      </c>
      <c r="F11" s="225">
        <v>205</v>
      </c>
      <c r="G11" s="225" t="s">
        <v>567</v>
      </c>
      <c r="H11" s="226">
        <v>30939</v>
      </c>
      <c r="I11" s="227">
        <v>10.199999999999999</v>
      </c>
      <c r="K11" s="228" t="s">
        <v>574</v>
      </c>
    </row>
    <row r="12" spans="1:11" ht="14.25" customHeight="1">
      <c r="A12" s="225">
        <v>1299</v>
      </c>
      <c r="B12" s="225" t="s">
        <v>455</v>
      </c>
      <c r="C12" s="225" t="s">
        <v>456</v>
      </c>
      <c r="D12" s="225" t="s">
        <v>575</v>
      </c>
      <c r="E12" s="225" t="s">
        <v>576</v>
      </c>
      <c r="F12" s="225">
        <v>127</v>
      </c>
      <c r="G12" s="225" t="s">
        <v>552</v>
      </c>
      <c r="H12" s="226">
        <v>32863</v>
      </c>
      <c r="I12" s="227">
        <v>12.2</v>
      </c>
      <c r="K12" s="228" t="s">
        <v>577</v>
      </c>
    </row>
    <row r="13" spans="1:11" ht="14.25" customHeight="1">
      <c r="A13" s="225">
        <v>1302</v>
      </c>
      <c r="B13" s="225" t="s">
        <v>457</v>
      </c>
      <c r="C13" s="225" t="s">
        <v>458</v>
      </c>
      <c r="D13" s="225" t="s">
        <v>568</v>
      </c>
      <c r="E13" s="225" t="s">
        <v>578</v>
      </c>
      <c r="F13" s="225">
        <v>139</v>
      </c>
      <c r="G13" s="225" t="s">
        <v>552</v>
      </c>
      <c r="H13" s="226">
        <v>30900</v>
      </c>
      <c r="I13" s="227">
        <v>14.25</v>
      </c>
      <c r="K13" s="228" t="s">
        <v>579</v>
      </c>
    </row>
    <row r="14" spans="1:11" ht="14.25" customHeight="1">
      <c r="A14" s="225">
        <v>1310</v>
      </c>
      <c r="B14" s="225" t="s">
        <v>147</v>
      </c>
      <c r="C14" s="225" t="s">
        <v>459</v>
      </c>
      <c r="D14" s="225" t="s">
        <v>575</v>
      </c>
      <c r="E14" s="225" t="s">
        <v>580</v>
      </c>
      <c r="F14" s="225">
        <v>137</v>
      </c>
      <c r="G14" s="225" t="s">
        <v>552</v>
      </c>
      <c r="H14" s="226">
        <v>31689</v>
      </c>
      <c r="I14" s="227">
        <v>11.5</v>
      </c>
      <c r="K14" s="228" t="s">
        <v>581</v>
      </c>
    </row>
    <row r="15" spans="1:11" ht="14.25" customHeight="1">
      <c r="A15" s="225">
        <v>1329</v>
      </c>
      <c r="B15" s="225" t="s">
        <v>460</v>
      </c>
      <c r="C15" s="225" t="s">
        <v>461</v>
      </c>
      <c r="D15" s="225" t="s">
        <v>560</v>
      </c>
      <c r="E15" s="225" t="s">
        <v>582</v>
      </c>
      <c r="F15" s="225">
        <v>151</v>
      </c>
      <c r="G15" s="225" t="s">
        <v>558</v>
      </c>
      <c r="H15" s="226">
        <v>32561</v>
      </c>
      <c r="I15" s="227">
        <v>10.35</v>
      </c>
      <c r="K15" s="228" t="s">
        <v>583</v>
      </c>
    </row>
    <row r="16" spans="1:11" ht="14.25" customHeight="1">
      <c r="A16" s="225">
        <v>1333</v>
      </c>
      <c r="B16" s="225" t="s">
        <v>462</v>
      </c>
      <c r="C16" s="225" t="s">
        <v>463</v>
      </c>
      <c r="D16" s="225" t="s">
        <v>565</v>
      </c>
      <c r="E16" s="225" t="s">
        <v>584</v>
      </c>
      <c r="F16" s="225">
        <v>122</v>
      </c>
      <c r="G16" s="225" t="s">
        <v>567</v>
      </c>
      <c r="H16" s="226">
        <v>32979</v>
      </c>
      <c r="I16" s="227">
        <v>10.15</v>
      </c>
    </row>
    <row r="17" spans="1:9" ht="14.25" customHeight="1">
      <c r="A17" s="225">
        <v>1368</v>
      </c>
      <c r="B17" s="225" t="s">
        <v>464</v>
      </c>
      <c r="C17" s="225" t="s">
        <v>465</v>
      </c>
      <c r="D17" s="225" t="s">
        <v>556</v>
      </c>
      <c r="E17" s="225" t="s">
        <v>585</v>
      </c>
      <c r="F17" s="225">
        <v>132</v>
      </c>
      <c r="G17" s="225" t="s">
        <v>558</v>
      </c>
      <c r="H17" s="226">
        <v>30386</v>
      </c>
      <c r="I17" s="227">
        <v>12.25</v>
      </c>
    </row>
    <row r="18" spans="1:9" ht="14.25" customHeight="1">
      <c r="A18" s="225">
        <v>1509</v>
      </c>
      <c r="B18" s="225" t="s">
        <v>586</v>
      </c>
      <c r="C18" s="225" t="s">
        <v>587</v>
      </c>
      <c r="D18" s="225" t="s">
        <v>550</v>
      </c>
      <c r="E18" s="225" t="s">
        <v>588</v>
      </c>
      <c r="F18" s="225">
        <v>135</v>
      </c>
      <c r="G18" s="225" t="s">
        <v>552</v>
      </c>
      <c r="H18" s="226">
        <v>31217</v>
      </c>
      <c r="I18" s="227">
        <v>13.25</v>
      </c>
    </row>
    <row r="19" spans="1:9" ht="14.25" customHeight="1">
      <c r="A19" s="225">
        <v>1516</v>
      </c>
      <c r="B19" s="225" t="s">
        <v>589</v>
      </c>
      <c r="C19" s="225" t="s">
        <v>590</v>
      </c>
      <c r="D19" s="225" t="s">
        <v>560</v>
      </c>
      <c r="E19" s="225" t="s">
        <v>591</v>
      </c>
      <c r="F19" s="225">
        <v>105</v>
      </c>
      <c r="G19" s="225" t="s">
        <v>558</v>
      </c>
      <c r="H19" s="226">
        <v>31112</v>
      </c>
      <c r="I19" s="227">
        <v>9.5</v>
      </c>
    </row>
    <row r="20" spans="1:9" ht="14.25" customHeight="1">
      <c r="A20" s="225">
        <v>1529</v>
      </c>
      <c r="B20" s="225" t="s">
        <v>592</v>
      </c>
      <c r="C20" s="225" t="s">
        <v>593</v>
      </c>
      <c r="D20" s="225" t="s">
        <v>568</v>
      </c>
      <c r="E20" s="225" t="s">
        <v>594</v>
      </c>
      <c r="F20" s="225">
        <v>129</v>
      </c>
      <c r="G20" s="225" t="s">
        <v>552</v>
      </c>
      <c r="H20" s="226">
        <v>31805</v>
      </c>
      <c r="I20" s="227">
        <v>11.3</v>
      </c>
    </row>
    <row r="21" spans="1:9" ht="14.25" customHeight="1">
      <c r="A21" s="225">
        <v>1656</v>
      </c>
      <c r="B21" s="225" t="s">
        <v>595</v>
      </c>
      <c r="C21" s="225" t="s">
        <v>596</v>
      </c>
      <c r="D21" s="225" t="s">
        <v>575</v>
      </c>
      <c r="E21" s="225" t="s">
        <v>597</v>
      </c>
      <c r="F21" s="225">
        <v>149</v>
      </c>
      <c r="G21" s="225" t="s">
        <v>552</v>
      </c>
      <c r="H21" s="226">
        <v>32125</v>
      </c>
      <c r="I21" s="227">
        <v>12.35</v>
      </c>
    </row>
    <row r="22" spans="1:9" ht="14.25" customHeight="1">
      <c r="A22" s="225">
        <v>1672</v>
      </c>
      <c r="B22" s="225" t="s">
        <v>598</v>
      </c>
      <c r="C22" s="225" t="s">
        <v>599</v>
      </c>
      <c r="D22" s="225" t="s">
        <v>575</v>
      </c>
      <c r="E22" s="225" t="s">
        <v>600</v>
      </c>
      <c r="F22" s="225">
        <v>114</v>
      </c>
      <c r="G22" s="225" t="s">
        <v>552</v>
      </c>
      <c r="H22" s="226">
        <v>32979</v>
      </c>
      <c r="I22" s="227">
        <v>11.9</v>
      </c>
    </row>
    <row r="23" spans="1:9" ht="14.25" customHeight="1">
      <c r="A23" s="225">
        <v>1673</v>
      </c>
      <c r="B23" s="225" t="s">
        <v>601</v>
      </c>
      <c r="C23" s="225" t="s">
        <v>450</v>
      </c>
      <c r="D23" s="225" t="s">
        <v>556</v>
      </c>
      <c r="E23" s="225" t="s">
        <v>602</v>
      </c>
      <c r="F23" s="225">
        <v>112</v>
      </c>
      <c r="G23" s="225" t="s">
        <v>558</v>
      </c>
      <c r="H23" s="226">
        <v>33688</v>
      </c>
      <c r="I23" s="227">
        <v>11.85</v>
      </c>
    </row>
    <row r="24" spans="1:9" ht="14.25" customHeight="1">
      <c r="A24" s="225">
        <v>1676</v>
      </c>
      <c r="B24" s="225" t="s">
        <v>603</v>
      </c>
      <c r="C24" s="225" t="s">
        <v>604</v>
      </c>
      <c r="D24" s="225" t="s">
        <v>568</v>
      </c>
      <c r="E24" s="225" t="s">
        <v>605</v>
      </c>
      <c r="F24" s="225">
        <v>115</v>
      </c>
      <c r="G24" s="225" t="s">
        <v>552</v>
      </c>
      <c r="H24" s="226">
        <v>29885</v>
      </c>
      <c r="I24" s="227">
        <v>10.75</v>
      </c>
    </row>
    <row r="25" spans="1:9" ht="14.25" customHeight="1">
      <c r="A25" s="225">
        <v>1721</v>
      </c>
      <c r="B25" s="225" t="s">
        <v>606</v>
      </c>
      <c r="C25" s="225" t="s">
        <v>607</v>
      </c>
      <c r="D25" s="225" t="s">
        <v>565</v>
      </c>
      <c r="E25" s="225" t="s">
        <v>608</v>
      </c>
      <c r="F25" s="225">
        <v>102</v>
      </c>
      <c r="G25" s="225" t="s">
        <v>567</v>
      </c>
      <c r="H25" s="226">
        <v>33091</v>
      </c>
      <c r="I25" s="227">
        <v>9.75</v>
      </c>
    </row>
    <row r="26" spans="1:9" ht="14.25" customHeight="1">
      <c r="A26" s="225">
        <v>1723</v>
      </c>
      <c r="B26" s="225" t="s">
        <v>609</v>
      </c>
      <c r="C26" s="225" t="s">
        <v>446</v>
      </c>
      <c r="D26" s="225" t="s">
        <v>568</v>
      </c>
      <c r="E26" s="225" t="s">
        <v>610</v>
      </c>
      <c r="F26" s="225">
        <v>145</v>
      </c>
      <c r="G26" s="225" t="s">
        <v>552</v>
      </c>
      <c r="H26" s="226">
        <v>28531</v>
      </c>
      <c r="I26" s="227">
        <v>13.95</v>
      </c>
    </row>
    <row r="27" spans="1:9" ht="14.25" customHeight="1">
      <c r="A27" s="225">
        <v>1758</v>
      </c>
      <c r="B27" s="225" t="s">
        <v>611</v>
      </c>
      <c r="C27" s="225" t="s">
        <v>612</v>
      </c>
      <c r="D27" s="225" t="s">
        <v>560</v>
      </c>
      <c r="E27" s="225" t="s">
        <v>613</v>
      </c>
      <c r="F27" s="225">
        <v>107</v>
      </c>
      <c r="G27" s="225" t="s">
        <v>558</v>
      </c>
      <c r="H27" s="226">
        <v>30028</v>
      </c>
      <c r="I27" s="227">
        <v>11.2</v>
      </c>
    </row>
    <row r="28" spans="1:9" ht="14.25" customHeight="1">
      <c r="A28" s="225">
        <v>1792</v>
      </c>
      <c r="B28" s="225" t="s">
        <v>614</v>
      </c>
      <c r="C28" s="225" t="s">
        <v>615</v>
      </c>
      <c r="D28" s="225" t="s">
        <v>550</v>
      </c>
      <c r="E28" s="225" t="s">
        <v>616</v>
      </c>
      <c r="F28" s="225">
        <v>111</v>
      </c>
      <c r="G28" s="225" t="s">
        <v>552</v>
      </c>
      <c r="H28" s="226">
        <v>33231</v>
      </c>
      <c r="I28" s="227">
        <v>10.3</v>
      </c>
    </row>
    <row r="29" spans="1:9" ht="14.25" customHeight="1">
      <c r="A29" s="225">
        <v>1814</v>
      </c>
      <c r="B29" s="225" t="s">
        <v>617</v>
      </c>
      <c r="C29" s="225" t="s">
        <v>618</v>
      </c>
      <c r="D29" s="225" t="s">
        <v>565</v>
      </c>
      <c r="E29" s="225" t="s">
        <v>619</v>
      </c>
      <c r="F29" s="225">
        <v>103</v>
      </c>
      <c r="G29" s="225" t="s">
        <v>567</v>
      </c>
      <c r="H29" s="226">
        <v>32571</v>
      </c>
      <c r="I29" s="227">
        <v>12.25</v>
      </c>
    </row>
    <row r="30" spans="1:9" ht="14.25" customHeight="1">
      <c r="A30" s="225">
        <v>1908</v>
      </c>
      <c r="B30" s="225" t="s">
        <v>620</v>
      </c>
      <c r="C30" s="225" t="s">
        <v>621</v>
      </c>
      <c r="D30" s="225" t="s">
        <v>550</v>
      </c>
      <c r="E30" s="225" t="s">
        <v>622</v>
      </c>
      <c r="F30" s="225">
        <v>152</v>
      </c>
      <c r="G30" s="225" t="s">
        <v>552</v>
      </c>
      <c r="H30" s="226">
        <v>30817</v>
      </c>
      <c r="I30" s="227">
        <v>10.25</v>
      </c>
    </row>
    <row r="31" spans="1:9" ht="14.25" customHeight="1">
      <c r="A31" s="225">
        <v>1931</v>
      </c>
      <c r="B31" s="225" t="s">
        <v>623</v>
      </c>
      <c r="C31" s="225" t="s">
        <v>624</v>
      </c>
      <c r="D31" s="225" t="s">
        <v>560</v>
      </c>
      <c r="E31" s="225" t="s">
        <v>625</v>
      </c>
      <c r="F31" s="225">
        <v>110</v>
      </c>
      <c r="G31" s="225" t="s">
        <v>558</v>
      </c>
      <c r="H31" s="226">
        <v>32679</v>
      </c>
      <c r="I31" s="227">
        <v>9.85</v>
      </c>
    </row>
    <row r="32" spans="1:9" ht="14.25" customHeight="1">
      <c r="A32" s="225">
        <v>1960</v>
      </c>
      <c r="B32" s="225" t="s">
        <v>626</v>
      </c>
      <c r="C32" s="225" t="s">
        <v>627</v>
      </c>
      <c r="D32" s="225" t="s">
        <v>575</v>
      </c>
      <c r="E32" s="225" t="s">
        <v>628</v>
      </c>
      <c r="F32" s="225">
        <v>150</v>
      </c>
      <c r="G32" s="225" t="s">
        <v>552</v>
      </c>
      <c r="H32" s="226">
        <v>31729</v>
      </c>
      <c r="I32" s="227">
        <v>11.65</v>
      </c>
    </row>
    <row r="33" spans="1:9" ht="14.25" customHeight="1">
      <c r="A33" s="225">
        <v>1964</v>
      </c>
      <c r="B33" s="225" t="s">
        <v>629</v>
      </c>
      <c r="C33" s="225" t="s">
        <v>630</v>
      </c>
      <c r="D33" s="225" t="s">
        <v>560</v>
      </c>
      <c r="E33" s="225" t="s">
        <v>631</v>
      </c>
      <c r="F33" s="225">
        <v>108</v>
      </c>
      <c r="G33" s="225" t="s">
        <v>558</v>
      </c>
      <c r="H33" s="226">
        <v>33559</v>
      </c>
      <c r="I33" s="227">
        <v>9.25</v>
      </c>
    </row>
    <row r="34" spans="1:9" ht="14.25" customHeight="1">
      <c r="A34" s="225">
        <v>1975</v>
      </c>
      <c r="B34" s="225" t="s">
        <v>632</v>
      </c>
      <c r="C34" s="225" t="s">
        <v>633</v>
      </c>
      <c r="D34" s="225" t="s">
        <v>560</v>
      </c>
      <c r="E34" s="225" t="s">
        <v>634</v>
      </c>
      <c r="F34" s="225">
        <v>125</v>
      </c>
      <c r="G34" s="225" t="s">
        <v>558</v>
      </c>
      <c r="H34" s="226">
        <v>35125</v>
      </c>
      <c r="I34" s="227">
        <v>9.25</v>
      </c>
    </row>
    <row r="35" spans="1:9" ht="14.25" customHeight="1">
      <c r="A35" s="225">
        <v>1983</v>
      </c>
      <c r="B35" s="225" t="s">
        <v>629</v>
      </c>
      <c r="C35" s="225" t="s">
        <v>635</v>
      </c>
      <c r="D35" s="225" t="s">
        <v>550</v>
      </c>
      <c r="E35" s="225" t="s">
        <v>636</v>
      </c>
      <c r="F35" s="225">
        <v>154</v>
      </c>
      <c r="G35" s="225" t="s">
        <v>552</v>
      </c>
      <c r="H35" s="226">
        <v>35609</v>
      </c>
      <c r="I35" s="227">
        <v>11</v>
      </c>
    </row>
    <row r="36" spans="1:9" ht="14.25" customHeight="1">
      <c r="A36" s="225">
        <v>1990</v>
      </c>
      <c r="B36" s="225" t="s">
        <v>637</v>
      </c>
      <c r="C36" s="225" t="s">
        <v>638</v>
      </c>
      <c r="D36" s="225" t="s">
        <v>575</v>
      </c>
      <c r="E36" s="225" t="s">
        <v>639</v>
      </c>
      <c r="F36" s="225">
        <v>198</v>
      </c>
      <c r="G36" s="225" t="s">
        <v>552</v>
      </c>
      <c r="H36" s="226">
        <v>35840</v>
      </c>
      <c r="I36" s="227">
        <v>10.95</v>
      </c>
    </row>
    <row r="37" spans="1:9" ht="14.25" customHeight="1">
      <c r="A37" s="225">
        <v>1995</v>
      </c>
      <c r="B37" s="225" t="s">
        <v>640</v>
      </c>
      <c r="C37" s="225" t="s">
        <v>641</v>
      </c>
      <c r="D37" s="225" t="s">
        <v>550</v>
      </c>
      <c r="E37" s="225" t="s">
        <v>642</v>
      </c>
      <c r="F37" s="225">
        <v>198</v>
      </c>
      <c r="G37" s="225" t="s">
        <v>552</v>
      </c>
      <c r="H37" s="226">
        <v>35855</v>
      </c>
      <c r="I37" s="227">
        <v>11.75</v>
      </c>
    </row>
    <row r="38" spans="1:9" ht="14.25" customHeight="1">
      <c r="A38" s="225">
        <v>1999</v>
      </c>
      <c r="B38" s="225" t="s">
        <v>643</v>
      </c>
      <c r="C38" s="225" t="s">
        <v>644</v>
      </c>
      <c r="D38" s="225" t="s">
        <v>565</v>
      </c>
      <c r="E38" s="225" t="s">
        <v>645</v>
      </c>
      <c r="F38" s="225">
        <v>428</v>
      </c>
      <c r="G38" s="225" t="s">
        <v>567</v>
      </c>
      <c r="H38" s="226">
        <v>35981</v>
      </c>
      <c r="I38" s="227">
        <v>10.15</v>
      </c>
    </row>
  </sheetData>
  <dataValidations disablePrompts="1" count="1">
    <dataValidation type="whole" operator="equal" allowBlank="1" showInputMessage="1" showErrorMessage="1" error="Only 3 number accepted" sqref="F7" xr:uid="{D4A199D3-B864-4852-AE04-762B23F96D06}">
      <formula1>3</formula1>
    </dataValidation>
  </dataValidations>
  <pageMargins left="0.75" right="0.75" top="1" bottom="1" header="0.5" footer="0.5"/>
  <pageSetup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E93C-7C61-4427-8DA0-D8E43FA02948}">
  <dimension ref="A1:M27"/>
  <sheetViews>
    <sheetView showGridLines="0" zoomScale="130" zoomScaleNormal="130" workbookViewId="0">
      <selection activeCell="A9" sqref="A9"/>
    </sheetView>
  </sheetViews>
  <sheetFormatPr defaultColWidth="9.1796875" defaultRowHeight="12.5"/>
  <cols>
    <col min="1" max="1" width="11.81640625" style="79" bestFit="1" customWidth="1"/>
    <col min="2" max="3" width="13.81640625" style="79" customWidth="1"/>
    <col min="4" max="4" width="18.54296875" style="79" customWidth="1"/>
    <col min="5" max="6" width="13.81640625" style="79" customWidth="1"/>
    <col min="7" max="7" width="5.81640625" style="79" customWidth="1"/>
    <col min="8" max="16384" width="9.1796875" style="79"/>
  </cols>
  <sheetData>
    <row r="1" spans="2:10" ht="13" thickBot="1"/>
    <row r="2" spans="2:10" ht="21.75" customHeight="1">
      <c r="B2" s="229" t="s">
        <v>543</v>
      </c>
      <c r="C2" s="230" t="s">
        <v>431</v>
      </c>
      <c r="D2" s="230" t="s">
        <v>430</v>
      </c>
      <c r="E2" s="230" t="s">
        <v>544</v>
      </c>
      <c r="F2" s="230" t="s">
        <v>549</v>
      </c>
      <c r="G2" s="231"/>
      <c r="I2" s="224" t="s">
        <v>545</v>
      </c>
      <c r="J2" s="229" t="s">
        <v>543</v>
      </c>
    </row>
    <row r="3" spans="2:10" ht="14.5">
      <c r="B3" s="232">
        <v>1054</v>
      </c>
      <c r="C3" s="233" t="str">
        <f>_xlfn.XLOOKUP(B3,'Xlookup Emp List'!A2:A38,'Xlookup Emp List'!C2:C38)</f>
        <v>Howard</v>
      </c>
      <c r="D3" s="233" t="str">
        <f>_xlfn.XLOOKUP(B3,'Xlookup Emp List'!$A$2:$A$38,'Xlookup Emp List'!$B$2:$B$38,0)</f>
        <v>Smith</v>
      </c>
      <c r="E3" s="233" t="str">
        <f>_xlfn.XLOOKUP(B3,'Xlookup Emp List'!$A$2:$A$38,'Xlookup Emp List'!$D$2:$D$38,0)</f>
        <v>AT</v>
      </c>
      <c r="F3" s="233"/>
      <c r="G3" s="234"/>
      <c r="I3" s="225" t="s">
        <v>551</v>
      </c>
      <c r="J3" s="79">
        <f>_xlfn.XLOOKUP(I3,'Xlookup Emp List'!$E$2:$E$38,'Xlookup Emp List'!$A$2:$A$38,0)</f>
        <v>1054</v>
      </c>
    </row>
    <row r="4" spans="2:10" ht="14.5">
      <c r="B4" s="232">
        <v>1056</v>
      </c>
      <c r="C4" s="233" t="str">
        <f>_xlfn.XLOOKUP(B4,'Xlookup Emp List'!A3:A39,'Xlookup Emp List'!C3:C39)</f>
        <v>Joe</v>
      </c>
      <c r="D4" s="233" t="str">
        <f>_xlfn.XLOOKUP(B4,'Xlookup Emp List'!$A$2:$A$38,'Xlookup Emp List'!$B$2:$B$38,0)</f>
        <v>Gonzales</v>
      </c>
      <c r="E4" s="233" t="str">
        <f>_xlfn.XLOOKUP(B4,'Xlookup Emp List'!$A$2:$A$38,'Xlookup Emp List'!$D$2:$D$38,0)</f>
        <v>AT</v>
      </c>
      <c r="F4" s="233"/>
      <c r="G4" s="234"/>
      <c r="I4" s="225" t="s">
        <v>553</v>
      </c>
      <c r="J4" s="79">
        <f>_xlfn.XLOOKUP(I4,'Xlookup Emp List'!$E$2:$E$38,'Xlookup Emp List'!$A$2:$A$38,0)</f>
        <v>1056</v>
      </c>
    </row>
    <row r="5" spans="2:10" ht="14.5">
      <c r="B5" s="232">
        <v>1067</v>
      </c>
      <c r="C5" s="233" t="str">
        <f>_xlfn.XLOOKUP(B5,'Xlookup Emp List'!A4:A40,'Xlookup Emp List'!C4:C40)</f>
        <v>Gail</v>
      </c>
      <c r="D5" s="233" t="str">
        <f>_xlfn.XLOOKUP(B5,'Xlookup Emp List'!$A$2:$A$38,'Xlookup Emp List'!$B$2:$B$38,0)</f>
        <v>Scote</v>
      </c>
      <c r="E5" s="233" t="str">
        <f>_xlfn.XLOOKUP(B5,'Xlookup Emp List'!$A$2:$A$38,'Xlookup Emp List'!$D$2:$D$38,0)</f>
        <v>AT</v>
      </c>
      <c r="F5" s="233"/>
      <c r="G5" s="234"/>
      <c r="I5" s="225" t="s">
        <v>554</v>
      </c>
      <c r="J5" s="79">
        <f>_xlfn.XLOOKUP(I5,'Xlookup Emp List'!$E$2:$E$38,'Xlookup Emp List'!$A$2:$A$38,0)</f>
        <v>1067</v>
      </c>
    </row>
    <row r="6" spans="2:10" ht="14.5">
      <c r="B6" s="232">
        <v>1075</v>
      </c>
      <c r="C6" s="233" t="str">
        <f>_xlfn.XLOOKUP(B6,'Xlookup Emp List'!A5:A41,'Xlookup Emp List'!C5:C41)</f>
        <v>Sheryl</v>
      </c>
      <c r="D6" s="233" t="str">
        <f>_xlfn.XLOOKUP(B6,'Xlookup Emp List'!$A$2:$A$38,'Xlookup Emp List'!$B$2:$B$38,0)</f>
        <v>Kane</v>
      </c>
      <c r="E6" s="233" t="str">
        <f>_xlfn.XLOOKUP(B6,'Xlookup Emp List'!$A$2:$A$38,'Xlookup Emp List'!$D$2:$D$38,0)</f>
        <v>AD</v>
      </c>
      <c r="F6" s="233"/>
      <c r="G6" s="234"/>
      <c r="I6" s="225" t="s">
        <v>557</v>
      </c>
      <c r="J6" s="79">
        <f>_xlfn.XLOOKUP(I6,'Xlookup Emp List'!$E$2:$E$38,'Xlookup Emp List'!$A$2:$A$38,0)</f>
        <v>1075</v>
      </c>
    </row>
    <row r="7" spans="2:10" ht="14.5">
      <c r="B7" s="232">
        <v>1078</v>
      </c>
      <c r="C7" s="233" t="str">
        <f>_xlfn.XLOOKUP(B7,'Xlookup Emp List'!A6:A42,'Xlookup Emp List'!C6:C42)</f>
        <v>Kendrick</v>
      </c>
      <c r="D7" s="233" t="str">
        <f>_xlfn.XLOOKUP(B7,'Xlookup Emp List'!$A$2:$A$38,'Xlookup Emp List'!$B$2:$B$38,0)</f>
        <v>Hapsbuch</v>
      </c>
      <c r="E7" s="233" t="str">
        <f>_xlfn.XLOOKUP(B7,'Xlookup Emp List'!$A$2:$A$38,'Xlookup Emp List'!$D$2:$D$38,0)</f>
        <v>AC</v>
      </c>
      <c r="F7" s="233"/>
      <c r="G7" s="234"/>
      <c r="I7" s="225" t="s">
        <v>561</v>
      </c>
      <c r="J7" s="79">
        <f>_xlfn.XLOOKUP(I7,'Xlookup Emp List'!$E$2:$E$38,'Xlookup Emp List'!$A$2:$A$38,0)</f>
        <v>1078</v>
      </c>
    </row>
    <row r="8" spans="2:10" ht="14.5">
      <c r="B8" s="232">
        <v>1152</v>
      </c>
      <c r="C8" s="233" t="str">
        <f>_xlfn.XLOOKUP(B8,'Xlookup Emp List'!A7:A43,'Xlookup Emp List'!C7:C43)</f>
        <v>Mark</v>
      </c>
      <c r="D8" s="233" t="str">
        <f>_xlfn.XLOOKUP(B8,'Xlookup Emp List'!$A$2:$A$38,'Xlookup Emp List'!$B$2:$B$38,0)</f>
        <v>Henders</v>
      </c>
      <c r="E8" s="233" t="str">
        <f>_xlfn.XLOOKUP(B8,'Xlookup Emp List'!$A$2:$A$38,'Xlookup Emp List'!$D$2:$D$38,0)</f>
        <v>AD</v>
      </c>
      <c r="F8" s="233"/>
      <c r="G8" s="234"/>
      <c r="I8" s="225" t="s">
        <v>563</v>
      </c>
      <c r="J8" s="79">
        <f>_xlfn.XLOOKUP(I8,'Xlookup Emp List'!$E$2:$E$38,'Xlookup Emp List'!$A$2:$A$38,0)</f>
        <v>1152</v>
      </c>
    </row>
    <row r="9" spans="2:10" ht="14.5">
      <c r="B9" s="232">
        <v>1196</v>
      </c>
      <c r="C9" s="233" t="str">
        <f>_xlfn.XLOOKUP(B9,'Xlookup Emp List'!A8:A44,'Xlookup Emp List'!C8:C44)</f>
        <v>Katie</v>
      </c>
      <c r="D9" s="233" t="str">
        <f>_xlfn.XLOOKUP(B9,'Xlookup Emp List'!$A$2:$A$38,'Xlookup Emp List'!$B$2:$B$38,0)</f>
        <v>Atherton</v>
      </c>
      <c r="E9" s="233" t="str">
        <f>_xlfn.XLOOKUP(B9,'Xlookup Emp List'!$A$2:$A$38,'Xlookup Emp List'!$D$2:$D$38,0)</f>
        <v>HR</v>
      </c>
      <c r="F9" s="233"/>
      <c r="G9" s="234"/>
      <c r="I9" s="225" t="s">
        <v>566</v>
      </c>
      <c r="J9" s="79">
        <f>_xlfn.XLOOKUP(I9,'Xlookup Emp List'!$E$2:$E$38,'Xlookup Emp List'!$A$2:$A$38,0)</f>
        <v>1196</v>
      </c>
    </row>
    <row r="10" spans="2:10" ht="14.5">
      <c r="B10" s="232">
        <v>1284</v>
      </c>
      <c r="C10" s="233" t="str">
        <f>_xlfn.XLOOKUP(B10,'Xlookup Emp List'!A9:A45,'Xlookup Emp List'!C9:C45)</f>
        <v>Frank</v>
      </c>
      <c r="D10" s="233" t="str">
        <f>_xlfn.XLOOKUP(B10,'Xlookup Emp List'!$A$2:$A$38,'Xlookup Emp List'!$B$2:$B$38,0)</f>
        <v>Bellwood</v>
      </c>
      <c r="E10" s="233" t="str">
        <f>_xlfn.XLOOKUP(B10,'Xlookup Emp List'!$A$2:$A$38,'Xlookup Emp List'!$D$2:$D$38,0)</f>
        <v>MK</v>
      </c>
      <c r="F10" s="233"/>
      <c r="G10" s="234"/>
      <c r="I10" s="225" t="s">
        <v>569</v>
      </c>
      <c r="J10" s="79">
        <f>_xlfn.XLOOKUP(I10,'Xlookup Emp List'!$E$2:$E$38,'Xlookup Emp List'!$A$2:$A$38,0)</f>
        <v>1284</v>
      </c>
    </row>
    <row r="11" spans="2:10" ht="14.5">
      <c r="B11" s="232" t="s">
        <v>646</v>
      </c>
      <c r="C11" s="233" t="e">
        <f>_xlfn.XLOOKUP(B11,'Xlookup Emp List'!A10:A46,'Xlookup Emp List'!C10:C46)</f>
        <v>#N/A</v>
      </c>
      <c r="D11" s="233">
        <f>_xlfn.XLOOKUP(B11,'Xlookup Emp List'!$A$2:$A$38,'Xlookup Emp List'!$B$2:$B$38,0)</f>
        <v>0</v>
      </c>
      <c r="E11" s="233">
        <f>_xlfn.XLOOKUP(B11,'Xlookup Emp List'!$A$2:$A$38,'Xlookup Emp List'!$D$2:$D$38,0)</f>
        <v>0</v>
      </c>
      <c r="F11" s="233"/>
      <c r="G11" s="234"/>
      <c r="I11" s="225" t="s">
        <v>571</v>
      </c>
      <c r="J11" s="79">
        <f>_xlfn.XLOOKUP(I11,'Xlookup Emp List'!$E$2:$E$38,'Xlookup Emp List'!$A$2:$A$38,0)</f>
        <v>1290</v>
      </c>
    </row>
    <row r="12" spans="2:10" ht="14.5">
      <c r="B12" s="232" t="s">
        <v>646</v>
      </c>
      <c r="C12" s="233" t="e">
        <f>_xlfn.XLOOKUP(B12,'Xlookup Emp List'!A11:A47,'Xlookup Emp List'!C11:C47)</f>
        <v>#N/A</v>
      </c>
      <c r="D12" s="233">
        <f>_xlfn.XLOOKUP(B12,'Xlookup Emp List'!$A$2:$A$38,'Xlookup Emp List'!$B$2:$B$38,0)</f>
        <v>0</v>
      </c>
      <c r="E12" s="233">
        <f>_xlfn.XLOOKUP(B12,'Xlookup Emp List'!$A$2:$A$38,'Xlookup Emp List'!$D$2:$D$38,0)</f>
        <v>0</v>
      </c>
      <c r="F12" s="233"/>
      <c r="G12" s="234"/>
      <c r="I12" s="225" t="s">
        <v>573</v>
      </c>
      <c r="J12" s="79">
        <f>_xlfn.XLOOKUP(I12,'Xlookup Emp List'!$E$2:$E$38,'Xlookup Emp List'!$A$2:$A$38,0)</f>
        <v>1293</v>
      </c>
    </row>
    <row r="13" spans="2:10" ht="14.5">
      <c r="B13" s="232" t="s">
        <v>646</v>
      </c>
      <c r="C13" s="233" t="e">
        <f>_xlfn.XLOOKUP(B13,'Xlookup Emp List'!A12:A48,'Xlookup Emp List'!C12:C48)</f>
        <v>#N/A</v>
      </c>
      <c r="D13" s="233">
        <f>_xlfn.XLOOKUP(B13,'Xlookup Emp List'!$A$2:$A$38,'Xlookup Emp List'!$B$2:$B$38,0)</f>
        <v>0</v>
      </c>
      <c r="E13" s="233">
        <f>_xlfn.XLOOKUP(B13,'Xlookup Emp List'!$A$2:$A$38,'Xlookup Emp List'!$D$2:$D$38,0)</f>
        <v>0</v>
      </c>
      <c r="F13" s="233"/>
      <c r="G13" s="234"/>
      <c r="I13" s="225" t="s">
        <v>576</v>
      </c>
      <c r="J13" s="79">
        <f>_xlfn.XLOOKUP(I13,'Xlookup Emp List'!$E$2:$E$38,'Xlookup Emp List'!$A$2:$A$38,0)</f>
        <v>1299</v>
      </c>
    </row>
    <row r="14" spans="2:10" ht="14.5">
      <c r="B14" s="232">
        <v>1302</v>
      </c>
      <c r="C14" s="233" t="str">
        <f>_xlfn.XLOOKUP(B14,'Xlookup Emp List'!A13:A49,'Xlookup Emp List'!C13:C49)</f>
        <v>Randy</v>
      </c>
      <c r="D14" s="233" t="str">
        <f>_xlfn.XLOOKUP(B14,'Xlookup Emp List'!$A$2:$A$38,'Xlookup Emp List'!$B$2:$B$38,0)</f>
        <v>Sindole</v>
      </c>
      <c r="E14" s="233" t="str">
        <f>_xlfn.XLOOKUP(B14,'Xlookup Emp List'!$A$2:$A$38,'Xlookup Emp List'!$D$2:$D$38,0)</f>
        <v>MK</v>
      </c>
      <c r="F14" s="233"/>
      <c r="G14" s="234"/>
      <c r="I14" s="225" t="s">
        <v>578</v>
      </c>
      <c r="J14" s="79">
        <f>_xlfn.XLOOKUP(I14,'Xlookup Emp List'!$E$2:$E$38,'Xlookup Emp List'!$A$2:$A$38,0)</f>
        <v>1302</v>
      </c>
    </row>
    <row r="15" spans="2:10" ht="14.5">
      <c r="B15" s="232">
        <v>1310</v>
      </c>
      <c r="C15" s="233" t="str">
        <f>_xlfn.XLOOKUP(B15,'Xlookup Emp List'!A14:A50,'Xlookup Emp List'!C14:C50)</f>
        <v>Ellen</v>
      </c>
      <c r="D15" s="233" t="str">
        <f>_xlfn.XLOOKUP(B15,'Xlookup Emp List'!$A$2:$A$38,'Xlookup Emp List'!$B$2:$B$38,0)</f>
        <v>Smith</v>
      </c>
      <c r="E15" s="233" t="str">
        <f>_xlfn.XLOOKUP(B15,'Xlookup Emp List'!$A$2:$A$38,'Xlookup Emp List'!$D$2:$D$38,0)</f>
        <v>MF</v>
      </c>
      <c r="F15" s="233"/>
      <c r="G15" s="234"/>
    </row>
    <row r="16" spans="2:10" ht="14.5">
      <c r="B16" s="232">
        <v>1329</v>
      </c>
      <c r="C16" s="233" t="str">
        <f>_xlfn.XLOOKUP(B16,'Xlookup Emp List'!A15:A51,'Xlookup Emp List'!C15:C51)</f>
        <v>Tuome</v>
      </c>
      <c r="D16" s="233" t="str">
        <f>_xlfn.XLOOKUP(B16,'Xlookup Emp List'!$A$2:$A$38,'Xlookup Emp List'!$B$2:$B$38,0)</f>
        <v>Vuanuo</v>
      </c>
      <c r="E16" s="233" t="str">
        <f>_xlfn.XLOOKUP(B16,'Xlookup Emp List'!$A$2:$A$38,'Xlookup Emp List'!$D$2:$D$38,0)</f>
        <v>AC</v>
      </c>
      <c r="F16" s="233"/>
      <c r="G16" s="234"/>
    </row>
    <row r="17" spans="1:13" ht="14.5">
      <c r="B17" s="232">
        <v>1333</v>
      </c>
      <c r="C17" s="233" t="str">
        <f>_xlfn.XLOOKUP(B17,'Xlookup Emp List'!A16:A52,'Xlookup Emp List'!C16:C52)</f>
        <v>Tadeuz</v>
      </c>
      <c r="D17" s="233" t="str">
        <f>_xlfn.XLOOKUP(B17,'Xlookup Emp List'!$A$2:$A$38,'Xlookup Emp List'!$B$2:$B$38,0)</f>
        <v>Szcznyck</v>
      </c>
      <c r="E17" s="233" t="str">
        <f>_xlfn.XLOOKUP(B17,'Xlookup Emp List'!$A$2:$A$38,'Xlookup Emp List'!$D$2:$D$38,0)</f>
        <v>HR</v>
      </c>
      <c r="F17" s="233"/>
      <c r="G17" s="234"/>
    </row>
    <row r="18" spans="1:13" ht="15" thickBot="1">
      <c r="B18" s="235">
        <v>1368</v>
      </c>
      <c r="C18" s="233" t="str">
        <f>_xlfn.XLOOKUP(B18,'Xlookup Emp List'!A17:A53,'Xlookup Emp List'!C17:C53)</f>
        <v>Tammy</v>
      </c>
      <c r="D18" s="233" t="str">
        <f>_xlfn.XLOOKUP(B18,'Xlookup Emp List'!$A$2:$A$38,'Xlookup Emp List'!$B$2:$B$38,0)</f>
        <v>Wu</v>
      </c>
      <c r="E18" s="233" t="str">
        <f>_xlfn.XLOOKUP(B18,'Xlookup Emp List'!$A$2:$A$38,'Xlookup Emp List'!$D$2:$D$38,0)</f>
        <v>AD</v>
      </c>
      <c r="F18" s="233"/>
      <c r="G18" s="234"/>
    </row>
    <row r="22" spans="1:13" ht="13" thickBot="1"/>
    <row r="23" spans="1:13" ht="14.5" thickBot="1">
      <c r="A23" s="229" t="s">
        <v>543</v>
      </c>
      <c r="B23" s="236">
        <v>1067</v>
      </c>
      <c r="C23" s="236">
        <v>1075</v>
      </c>
      <c r="D23" s="236">
        <v>1078</v>
      </c>
      <c r="E23" s="236">
        <v>1152</v>
      </c>
      <c r="F23" s="236">
        <v>1196</v>
      </c>
      <c r="G23" s="236">
        <v>1284</v>
      </c>
      <c r="H23" s="236">
        <v>1290</v>
      </c>
      <c r="I23" s="236">
        <v>1293</v>
      </c>
      <c r="J23" s="236">
        <v>1299</v>
      </c>
      <c r="K23" s="236">
        <v>1302</v>
      </c>
      <c r="L23" s="236">
        <v>1310</v>
      </c>
      <c r="M23" s="265">
        <v>1329</v>
      </c>
    </row>
    <row r="24" spans="1:13" ht="14">
      <c r="A24" s="230" t="s">
        <v>431</v>
      </c>
      <c r="B24" s="237" t="str">
        <f>_xlfn.XLOOKUP(B23,'Xlookup Emp List'!$A$2:$A$38,'Xlookup Emp List'!$C$2:$C$38,0)</f>
        <v>Gail</v>
      </c>
      <c r="C24" s="237" t="str">
        <f>_xlfn.XLOOKUP(C23,'Xlookup Emp List'!$A$2:$A$38,'Xlookup Emp List'!$C$2:$C$38,0)</f>
        <v>Sheryl</v>
      </c>
      <c r="D24" s="237" t="str">
        <f>_xlfn.XLOOKUP(D23,'Xlookup Emp List'!$A$2:$A$38,'Xlookup Emp List'!$C$2:$C$38,0)</f>
        <v>Kendrick</v>
      </c>
      <c r="E24" s="237" t="str">
        <f>_xlfn.XLOOKUP(E23,'Xlookup Emp List'!$A$2:$A$38,'Xlookup Emp List'!$C$2:$C$38,0)</f>
        <v>Mark</v>
      </c>
      <c r="F24" s="237" t="str">
        <f>_xlfn.XLOOKUP(F23,'Xlookup Emp List'!$A$2:$A$38,'Xlookup Emp List'!$C$2:$C$38,0)</f>
        <v>Katie</v>
      </c>
      <c r="G24" s="237" t="str">
        <f>_xlfn.XLOOKUP(G23,'Xlookup Emp List'!$A$2:$A$38,'Xlookup Emp List'!$C$2:$C$38,0)</f>
        <v>Frank</v>
      </c>
      <c r="H24" s="237" t="str">
        <f>_xlfn.XLOOKUP(H23,'Xlookup Emp List'!$A$2:$A$38,'Xlookup Emp List'!$C$2:$C$38,0)</f>
        <v>Linda</v>
      </c>
      <c r="I24" s="237" t="str">
        <f>_xlfn.XLOOKUP(I23,'Xlookup Emp List'!$A$2:$A$38,'Xlookup Emp List'!$C$2:$C$38,0)</f>
        <v>Brent</v>
      </c>
      <c r="J24" s="237" t="str">
        <f>_xlfn.XLOOKUP(J23,'Xlookup Emp List'!$A$2:$A$38,'Xlookup Emp List'!$C$2:$C$38,0)</f>
        <v>Sandrae</v>
      </c>
      <c r="K24" s="237" t="str">
        <f>_xlfn.XLOOKUP(K23,'Xlookup Emp List'!$A$2:$A$38,'Xlookup Emp List'!$C$2:$C$38,0)</f>
        <v>Randy</v>
      </c>
      <c r="L24" s="237" t="str">
        <f>_xlfn.XLOOKUP(L23,'Xlookup Emp List'!$A$2:$A$38,'Xlookup Emp List'!$C$2:$C$38,0)</f>
        <v>Ellen</v>
      </c>
      <c r="M24" s="237" t="str">
        <f>_xlfn.XLOOKUP(M23,'Xlookup Emp List'!$A$2:$A$38,'Xlookup Emp List'!$C$2:$C$38,0)</f>
        <v>Tuome</v>
      </c>
    </row>
    <row r="25" spans="1:13" ht="13" thickBot="1"/>
    <row r="26" spans="1:13" ht="14">
      <c r="A26" s="230" t="s">
        <v>549</v>
      </c>
      <c r="B26" s="79">
        <f>_xlfn.XLOOKUP(B23,'Xlookup Emp List'!$A$2:$A$38,'Xlookup Emp List'!$I$2:$I$38,0)</f>
        <v>14.55</v>
      </c>
      <c r="C26" s="79">
        <f>_xlfn.XLOOKUP(C23,'Xlookup Emp List'!$A$2:$A$38,'Xlookup Emp List'!$I$2:$I$38,0)</f>
        <v>11.25</v>
      </c>
      <c r="D26" s="79">
        <f>_xlfn.XLOOKUP(D23,'Xlookup Emp List'!$A$2:$A$38,'Xlookup Emp List'!$I$2:$I$38,0)</f>
        <v>10.199999999999999</v>
      </c>
      <c r="E26" s="79">
        <f>_xlfn.XLOOKUP(E23,'Xlookup Emp List'!$A$2:$A$38,'Xlookup Emp List'!$I$2:$I$38,0)</f>
        <v>12.25</v>
      </c>
      <c r="F26" s="79">
        <f>_xlfn.XLOOKUP(F23,'Xlookup Emp List'!$A$2:$A$38,'Xlookup Emp List'!$I$2:$I$38,0)</f>
        <v>9.9499999999999993</v>
      </c>
      <c r="G26" s="79">
        <f>_xlfn.XLOOKUP(G23,'Xlookup Emp List'!$A$2:$A$38,'Xlookup Emp List'!$I$2:$I$38,0)</f>
        <v>12.3</v>
      </c>
      <c r="H26" s="79">
        <f>_xlfn.XLOOKUP(H23,'Xlookup Emp List'!$A$2:$A$38,'Xlookup Emp List'!$I$2:$I$38,0)</f>
        <v>13.25</v>
      </c>
      <c r="I26" s="79">
        <f>_xlfn.XLOOKUP(I23,'Xlookup Emp List'!$A$2:$A$38,'Xlookup Emp List'!$I$2:$I$38,0)</f>
        <v>10.199999999999999</v>
      </c>
      <c r="J26" s="79">
        <f>_xlfn.XLOOKUP(J23,'Xlookup Emp List'!$A$2:$A$38,'Xlookup Emp List'!$I$2:$I$38,0)</f>
        <v>12.2</v>
      </c>
      <c r="K26" s="79">
        <f>_xlfn.XLOOKUP(K23,'Xlookup Emp List'!$A$2:$A$38,'Xlookup Emp List'!$I$2:$I$38,0)</f>
        <v>14.25</v>
      </c>
      <c r="L26" s="79">
        <f>_xlfn.XLOOKUP(L23,'Xlookup Emp List'!$A$2:$A$38,'Xlookup Emp List'!$I$2:$I$38,0)</f>
        <v>11.5</v>
      </c>
      <c r="M26" s="79">
        <f>_xlfn.XLOOKUP(M23,'Xlookup Emp List'!$A$2:$A$38,'Xlookup Emp List'!$I$2:$I$38,0)</f>
        <v>10.35</v>
      </c>
    </row>
    <row r="27" spans="1:13">
      <c r="B27" s="79">
        <f>_xlfn.XLOOKUP(B23,'Xlookup Emp List'!$A$2:$A$38,'Xlookup Emp List'!$I$2:$I$38,0)</f>
        <v>14.55</v>
      </c>
    </row>
  </sheetData>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7FBF-3837-46B6-8703-7E0434108BE5}">
  <dimension ref="A1:I20"/>
  <sheetViews>
    <sheetView workbookViewId="0">
      <selection activeCell="B5" sqref="B5"/>
    </sheetView>
  </sheetViews>
  <sheetFormatPr defaultColWidth="9.1796875" defaultRowHeight="12.5"/>
  <cols>
    <col min="1" max="1" width="9.1796875" style="79"/>
    <col min="2" max="2" width="13.453125" style="79" customWidth="1"/>
    <col min="3" max="3" width="10" style="79" customWidth="1"/>
    <col min="4" max="4" width="9.453125" style="79" customWidth="1"/>
    <col min="5" max="5" width="12.81640625" style="79" customWidth="1"/>
    <col min="6" max="6" width="13.453125" style="79" customWidth="1"/>
    <col min="7" max="7" width="15.453125" style="79" customWidth="1"/>
    <col min="8" max="8" width="21.54296875" style="79" customWidth="1"/>
    <col min="9" max="9" width="21.1796875" style="79" customWidth="1"/>
    <col min="10" max="16384" width="9.1796875" style="79"/>
  </cols>
  <sheetData>
    <row r="1" spans="1:9" ht="23.25" customHeight="1">
      <c r="A1" s="238" t="s">
        <v>647</v>
      </c>
    </row>
    <row r="2" spans="1:9" ht="20.25" customHeight="1">
      <c r="B2" s="112"/>
      <c r="C2" s="112" t="s">
        <v>648</v>
      </c>
      <c r="D2" s="112"/>
      <c r="E2" s="112"/>
      <c r="F2" s="239"/>
      <c r="G2" s="239"/>
      <c r="H2" s="239"/>
      <c r="I2" s="239"/>
    </row>
    <row r="3" spans="1:9" ht="18.75" customHeight="1">
      <c r="B3" s="112"/>
      <c r="C3" s="240" t="s">
        <v>112</v>
      </c>
      <c r="D3" s="240" t="s">
        <v>111</v>
      </c>
      <c r="E3" s="240" t="s">
        <v>649</v>
      </c>
      <c r="F3" s="240" t="s">
        <v>650</v>
      </c>
      <c r="G3" s="240" t="s">
        <v>651</v>
      </c>
      <c r="H3" s="240" t="s">
        <v>652</v>
      </c>
      <c r="I3" s="240" t="s">
        <v>653</v>
      </c>
    </row>
    <row r="4" spans="1:9" ht="20.25" customHeight="1">
      <c r="B4" s="241">
        <v>46101</v>
      </c>
      <c r="C4" s="242" t="str">
        <f>TEXT(B4,"mm")</f>
        <v>03</v>
      </c>
      <c r="D4" s="243" t="str">
        <f>TEXT(B4,"yy")</f>
        <v>26</v>
      </c>
      <c r="E4" s="243" t="str">
        <f>TEXT(B4,"ddd")</f>
        <v>Fri</v>
      </c>
      <c r="F4" s="242">
        <f>B4+5</f>
        <v>46106</v>
      </c>
      <c r="G4" s="242">
        <f>EDATE(B4,2)</f>
        <v>46162</v>
      </c>
      <c r="H4" s="242">
        <f>EDATE(B4,24)</f>
        <v>46832</v>
      </c>
      <c r="I4" s="242">
        <f>DATE(YEAR(B4) + 5, MONTH(B4)+2, DAY(B4))</f>
        <v>47988</v>
      </c>
    </row>
    <row r="5" spans="1:9" ht="18.75" customHeight="1">
      <c r="B5" s="241">
        <v>45730</v>
      </c>
      <c r="C5" s="243" t="str">
        <f>TEXT(B4,"MMM")</f>
        <v>Mar</v>
      </c>
      <c r="D5" s="243" t="str">
        <f>TEXT(B4,"yyyy")</f>
        <v>2026</v>
      </c>
      <c r="E5" s="243" t="str">
        <f>TEXT(B4,"dddd")</f>
        <v>Friday</v>
      </c>
      <c r="F5" s="244" t="str">
        <f>TEXT(F4,"MMMM")</f>
        <v>March</v>
      </c>
      <c r="G5" s="245">
        <f>EDATE(G4,2)</f>
        <v>46223</v>
      </c>
      <c r="H5" s="245">
        <f>EDATE(H4,24)</f>
        <v>47562</v>
      </c>
      <c r="I5" s="246">
        <f>DATE(YEAR(B4)+0,MONTH(B4)+9,DAY(B4)+3)</f>
        <v>46379</v>
      </c>
    </row>
    <row r="6" spans="1:9" ht="18.75" customHeight="1">
      <c r="B6" s="112"/>
      <c r="C6" s="243" t="str">
        <f>TEXT(B4,"MMMM")</f>
        <v>March</v>
      </c>
      <c r="D6" s="243"/>
      <c r="E6" s="243"/>
      <c r="F6" s="244"/>
      <c r="G6" s="245"/>
      <c r="H6" s="245"/>
      <c r="I6" s="246">
        <f>DATE(YEAR(B5)+6,MONTH(B5)+2,DAY(B5)+0)</f>
        <v>47982</v>
      </c>
    </row>
    <row r="7" spans="1:9">
      <c r="B7" s="239"/>
      <c r="C7" s="239"/>
      <c r="D7" s="239"/>
      <c r="E7" s="239"/>
      <c r="F7" s="239"/>
      <c r="G7" s="239"/>
      <c r="H7" s="239"/>
      <c r="I7" s="239"/>
    </row>
    <row r="9" spans="1:9">
      <c r="B9" s="85"/>
    </row>
    <row r="10" spans="1:9">
      <c r="B10" s="247">
        <f ca="1">B4-TODAY()</f>
        <v>225</v>
      </c>
    </row>
    <row r="17" spans="4:8">
      <c r="F17" s="248"/>
      <c r="G17" s="248"/>
      <c r="H17" s="85"/>
    </row>
    <row r="18" spans="4:8">
      <c r="F18" s="85"/>
    </row>
    <row r="20" spans="4:8">
      <c r="D20" s="85"/>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4536-498B-4D5B-8537-884C0BE8DAE4}">
  <dimension ref="A1:P19"/>
  <sheetViews>
    <sheetView showGridLines="0" zoomScale="110" zoomScaleNormal="110" workbookViewId="0">
      <selection activeCell="A14" sqref="A14"/>
    </sheetView>
  </sheetViews>
  <sheetFormatPr defaultColWidth="9.1796875" defaultRowHeight="15.5"/>
  <cols>
    <col min="1" max="1" width="15.54296875" style="79" customWidth="1"/>
    <col min="2" max="2" width="11.26953125" style="79" customWidth="1"/>
    <col min="3" max="3" width="11.54296875" style="79" customWidth="1"/>
    <col min="4" max="4" width="11.81640625" style="79" customWidth="1"/>
    <col min="5" max="5" width="11.7265625" style="79" bestFit="1" customWidth="1"/>
    <col min="6" max="6" width="11.26953125" style="79" customWidth="1"/>
    <col min="7" max="7" width="14.453125" style="89" customWidth="1"/>
    <col min="8" max="8" width="20.1796875" style="79" customWidth="1"/>
    <col min="9" max="9" width="18.81640625" style="79" customWidth="1"/>
    <col min="10" max="10" width="14.26953125" style="79" customWidth="1"/>
    <col min="11" max="11" width="7.1796875" style="79" bestFit="1" customWidth="1"/>
    <col min="12" max="12" width="11.1796875" style="79" bestFit="1" customWidth="1"/>
    <col min="13" max="13" width="9.26953125" style="79" bestFit="1" customWidth="1"/>
    <col min="14" max="14" width="9.1796875" style="79"/>
    <col min="15" max="15" width="14.7265625" style="79" bestFit="1" customWidth="1"/>
    <col min="16" max="16384" width="9.1796875" style="79"/>
  </cols>
  <sheetData>
    <row r="1" spans="1:16" ht="17">
      <c r="A1" s="78" t="s">
        <v>268</v>
      </c>
      <c r="B1" s="89"/>
      <c r="C1" s="89"/>
      <c r="D1" s="89"/>
      <c r="E1" s="89"/>
      <c r="F1" s="89"/>
      <c r="H1" s="89"/>
      <c r="I1" s="89"/>
      <c r="J1" s="90"/>
      <c r="K1" s="90"/>
      <c r="L1" s="90"/>
      <c r="M1" s="90"/>
      <c r="N1" s="90"/>
      <c r="O1" s="237" t="s">
        <v>654</v>
      </c>
      <c r="P1" s="237" t="s">
        <v>655</v>
      </c>
    </row>
    <row r="2" spans="1:16" ht="17">
      <c r="A2" s="91"/>
      <c r="B2" s="89"/>
      <c r="C2" s="89"/>
      <c r="D2" s="89"/>
      <c r="E2" s="89"/>
      <c r="F2" s="89"/>
      <c r="H2" s="89"/>
      <c r="I2" s="249" t="s">
        <v>656</v>
      </c>
      <c r="J2" s="250" t="s">
        <v>657</v>
      </c>
      <c r="K2" s="90"/>
      <c r="L2" s="90"/>
      <c r="M2" s="90"/>
      <c r="N2" s="90"/>
      <c r="O2" s="237"/>
      <c r="P2" s="237"/>
    </row>
    <row r="3" spans="1:16" ht="17">
      <c r="A3" s="91"/>
      <c r="B3" s="89"/>
      <c r="C3" s="89"/>
      <c r="D3" s="89"/>
      <c r="E3" s="89"/>
      <c r="F3" s="89"/>
      <c r="H3" s="89"/>
      <c r="I3" s="249" t="s">
        <v>658</v>
      </c>
      <c r="J3" s="250" t="s">
        <v>659</v>
      </c>
      <c r="K3" s="90"/>
      <c r="L3" s="90"/>
      <c r="M3" s="90"/>
      <c r="N3" s="90"/>
    </row>
    <row r="4" spans="1:16" ht="17">
      <c r="A4" s="91"/>
      <c r="B4" s="89"/>
      <c r="C4" s="89"/>
      <c r="D4" s="89"/>
      <c r="E4" s="89"/>
      <c r="F4" s="89"/>
      <c r="H4" s="89"/>
      <c r="I4" s="249" t="s">
        <v>660</v>
      </c>
      <c r="J4" s="250" t="s">
        <v>661</v>
      </c>
      <c r="K4" s="90"/>
      <c r="L4" s="90"/>
      <c r="M4" s="90"/>
      <c r="N4" s="90"/>
    </row>
    <row r="5" spans="1:16" ht="17">
      <c r="A5" s="91"/>
      <c r="B5" s="89"/>
      <c r="C5" s="89"/>
      <c r="D5" s="89"/>
      <c r="E5" s="89"/>
      <c r="F5" s="89"/>
      <c r="H5" s="89"/>
      <c r="I5" s="249" t="s">
        <v>662</v>
      </c>
      <c r="J5" s="250" t="s">
        <v>663</v>
      </c>
      <c r="K5" s="90"/>
      <c r="L5" s="90"/>
      <c r="M5" s="90"/>
      <c r="N5" s="90"/>
    </row>
    <row r="6" spans="1:16" ht="17.5" thickBot="1">
      <c r="A6" s="91"/>
      <c r="B6" s="89"/>
      <c r="C6" s="89"/>
      <c r="D6" s="89"/>
      <c r="E6" s="89"/>
      <c r="F6" s="89"/>
      <c r="H6" s="89"/>
      <c r="I6" s="249" t="s">
        <v>664</v>
      </c>
      <c r="J6" s="250" t="s">
        <v>256</v>
      </c>
      <c r="K6" s="90"/>
      <c r="L6" s="90"/>
      <c r="M6" s="90"/>
      <c r="N6" s="90"/>
      <c r="O6" s="79" t="s">
        <v>665</v>
      </c>
      <c r="P6" s="251">
        <v>0.05</v>
      </c>
    </row>
    <row r="7" spans="1:16" ht="16" thickBot="1">
      <c r="A7" s="266" t="s">
        <v>269</v>
      </c>
      <c r="B7" s="266"/>
      <c r="C7" s="266"/>
      <c r="D7" s="266"/>
      <c r="E7" s="266"/>
      <c r="F7" s="266"/>
      <c r="H7" s="252" t="s">
        <v>270</v>
      </c>
      <c r="I7" s="253">
        <v>36000</v>
      </c>
      <c r="J7" s="90"/>
      <c r="K7" s="90"/>
      <c r="L7" s="90"/>
      <c r="M7" s="90"/>
      <c r="N7" s="90"/>
      <c r="O7" s="237" t="s">
        <v>666</v>
      </c>
      <c r="P7" s="254">
        <v>0.08</v>
      </c>
    </row>
    <row r="8" spans="1:16" ht="16.5" thickTop="1" thickBot="1">
      <c r="A8" s="89"/>
      <c r="B8" s="89"/>
      <c r="C8" s="89"/>
      <c r="D8" s="89"/>
      <c r="E8" s="89"/>
      <c r="F8" s="89"/>
      <c r="H8" s="89"/>
      <c r="I8" s="89"/>
      <c r="J8" s="90"/>
      <c r="K8" s="90"/>
      <c r="L8" s="90"/>
      <c r="M8" s="90"/>
      <c r="N8" s="90"/>
      <c r="O8" s="237" t="s">
        <v>667</v>
      </c>
      <c r="P8" s="254">
        <v>0.1</v>
      </c>
    </row>
    <row r="9" spans="1:16" ht="19.5" customHeight="1">
      <c r="A9" s="94" t="s">
        <v>271</v>
      </c>
      <c r="B9" s="95" t="s">
        <v>272</v>
      </c>
      <c r="C9" s="95" t="s">
        <v>273</v>
      </c>
      <c r="D9" s="95" t="s">
        <v>274</v>
      </c>
      <c r="E9" s="95" t="s">
        <v>275</v>
      </c>
      <c r="F9" s="96" t="s">
        <v>276</v>
      </c>
      <c r="H9" s="97" t="s">
        <v>277</v>
      </c>
      <c r="I9" s="97" t="s">
        <v>278</v>
      </c>
      <c r="J9" s="97" t="s">
        <v>668</v>
      </c>
      <c r="K9" s="97" t="s">
        <v>669</v>
      </c>
      <c r="L9" s="97" t="s">
        <v>670</v>
      </c>
      <c r="M9" s="97" t="s">
        <v>671</v>
      </c>
      <c r="N9" s="90"/>
      <c r="O9" s="237" t="s">
        <v>672</v>
      </c>
      <c r="P9" s="254">
        <v>0.12</v>
      </c>
    </row>
    <row r="10" spans="1:16" ht="19.5" customHeight="1">
      <c r="A10" s="98" t="s">
        <v>279</v>
      </c>
      <c r="B10" s="99">
        <v>9550</v>
      </c>
      <c r="C10" s="99">
        <v>8230</v>
      </c>
      <c r="D10" s="99">
        <v>8500</v>
      </c>
      <c r="E10" s="99">
        <v>3000</v>
      </c>
      <c r="F10" s="100">
        <v>40000</v>
      </c>
      <c r="G10" s="255" t="str">
        <f>IF(AND(F10&gt;29280,F10&lt;=36375),$J$2,IF(AND(F10&gt;36376,F10&lt;=39000),$J$3,IF(AND(F10&gt;39001,F10&lt;=45000),$J$4,IF(AND(F10&gt;45001,F10&lt;=52000),$J$5,IF(F10&gt;=52001,$J$6,0)))))</f>
        <v>E</v>
      </c>
      <c r="H10" s="101" t="str">
        <f>IF(F10&gt;$I$7,"Achieved","Not achieved")</f>
        <v>Achieved</v>
      </c>
      <c r="I10" s="102"/>
      <c r="J10" s="102" t="str">
        <f>IF(OR(B10&gt;9000,C10&gt;9000),"Yes","No")</f>
        <v>Yes</v>
      </c>
      <c r="K10" s="256" t="str">
        <f>IF(AND(C10&gt;9000,D10&gt;9000),"Yes","No")</f>
        <v>No</v>
      </c>
      <c r="M10" s="257">
        <f t="shared" ref="M10:M12" si="0">IF(E10&lt;6000,0%,IF(AND(E10&gt;6000,E10&lt;=6999),5%,IF(AND(E10&gt;7000,E10&lt;=7999),8%,IF(AND(E10&gt;8000,E10&lt;=8999),10%,IF(AND(E10&gt;9000,E10&lt;=9999),12%,15%)))))</f>
        <v>0</v>
      </c>
      <c r="O10" s="237" t="s">
        <v>673</v>
      </c>
      <c r="P10" s="254">
        <v>0.15</v>
      </c>
    </row>
    <row r="11" spans="1:16" ht="18" customHeight="1">
      <c r="A11" s="98" t="s">
        <v>281</v>
      </c>
      <c r="B11" s="99">
        <v>5975</v>
      </c>
      <c r="C11" s="99">
        <v>6900</v>
      </c>
      <c r="D11" s="99">
        <v>8500</v>
      </c>
      <c r="E11" s="99">
        <v>15000</v>
      </c>
      <c r="F11" s="100">
        <v>55000</v>
      </c>
      <c r="G11" s="255" t="str">
        <f t="shared" ref="G11:G14" si="1">IF(AND(F11&gt;29280,F11&lt;=36375),$J$2,IF(AND(F11&gt;36376,F11&lt;=39000),$J$3,IF(AND(F11&gt;39001,F11&lt;=45000),$J$4,IF(AND(F11&gt;45001,F11&lt;=52000),$J$5,IF(F11&gt;=52001,$J$6,0)))))</f>
        <v>L</v>
      </c>
      <c r="H11" s="101" t="str">
        <f t="shared" ref="H11:H14" si="2">IF(F11&gt;$I$7,"Achieved","Not achieved")</f>
        <v>Achieved</v>
      </c>
      <c r="I11" s="102"/>
      <c r="J11" s="102" t="str">
        <f t="shared" ref="J11:J14" si="3">IF(OR(B11&gt;9000,C11&gt;9000),"Yes","No")</f>
        <v>No</v>
      </c>
      <c r="K11" s="256" t="str">
        <f t="shared" ref="K11:K14" si="4">IF(AND(C11&gt;9000,D11&gt;9000),"Yes","No")</f>
        <v>No</v>
      </c>
      <c r="M11" s="257">
        <f t="shared" si="0"/>
        <v>0.15</v>
      </c>
    </row>
    <row r="12" spans="1:16" ht="19.5" customHeight="1">
      <c r="A12" s="98" t="s">
        <v>282</v>
      </c>
      <c r="B12" s="99">
        <v>7425</v>
      </c>
      <c r="C12" s="99">
        <v>9580</v>
      </c>
      <c r="D12" s="99">
        <v>9910</v>
      </c>
      <c r="E12" s="99">
        <v>8000</v>
      </c>
      <c r="F12" s="100">
        <v>25000</v>
      </c>
      <c r="G12" s="255">
        <f t="shared" si="1"/>
        <v>0</v>
      </c>
      <c r="H12" s="101" t="str">
        <f t="shared" si="2"/>
        <v>Not achieved</v>
      </c>
      <c r="I12" s="102"/>
      <c r="J12" s="102" t="str">
        <f t="shared" si="3"/>
        <v>Yes</v>
      </c>
      <c r="K12" s="256" t="str">
        <f t="shared" si="4"/>
        <v>Yes</v>
      </c>
      <c r="M12" s="257">
        <f t="shared" si="0"/>
        <v>0.15</v>
      </c>
    </row>
    <row r="13" spans="1:16" ht="18" customHeight="1">
      <c r="A13" s="98" t="s">
        <v>283</v>
      </c>
      <c r="B13" s="99">
        <v>9560</v>
      </c>
      <c r="C13" s="99">
        <v>10150</v>
      </c>
      <c r="D13" s="99">
        <v>10200</v>
      </c>
      <c r="E13" s="99">
        <v>6500</v>
      </c>
      <c r="F13" s="100">
        <v>46000</v>
      </c>
      <c r="G13" s="255" t="str">
        <f t="shared" si="1"/>
        <v>K</v>
      </c>
      <c r="H13" s="101" t="str">
        <f t="shared" si="2"/>
        <v>Achieved</v>
      </c>
      <c r="I13" s="102"/>
      <c r="J13" s="102" t="str">
        <f t="shared" si="3"/>
        <v>Yes</v>
      </c>
      <c r="K13" s="256" t="str">
        <f t="shared" si="4"/>
        <v>Yes</v>
      </c>
      <c r="L13" s="104"/>
      <c r="M13" s="257">
        <f>IF(E13&lt;6000,0%,IF(AND(E13&gt;6000,E13&lt;=6999),5%,IF(AND(E13&gt;7000,E13&lt;=7999),8%,IF(AND(E13&gt;8000,E13&lt;=8999),10%,IF(AND(E13&gt;9000,E13&lt;=9999),12%,15%)))))</f>
        <v>0.05</v>
      </c>
      <c r="N13" s="104"/>
    </row>
    <row r="14" spans="1:16" ht="19.5" customHeight="1" thickBot="1">
      <c r="A14" s="105" t="s">
        <v>284</v>
      </c>
      <c r="B14" s="106">
        <v>7892</v>
      </c>
      <c r="C14" s="106">
        <v>7695</v>
      </c>
      <c r="D14" s="106">
        <v>9520</v>
      </c>
      <c r="E14" s="106">
        <v>7500</v>
      </c>
      <c r="F14" s="107">
        <v>37000</v>
      </c>
      <c r="G14" s="255" t="str">
        <f t="shared" si="1"/>
        <v>H</v>
      </c>
      <c r="H14" s="101" t="str">
        <f t="shared" si="2"/>
        <v>Achieved</v>
      </c>
      <c r="I14" s="102"/>
      <c r="J14" s="102" t="str">
        <f t="shared" si="3"/>
        <v>No</v>
      </c>
      <c r="K14" s="256" t="str">
        <f t="shared" si="4"/>
        <v>No</v>
      </c>
      <c r="L14" s="90"/>
      <c r="M14" s="257">
        <f>IF(E14&lt;6000,0%,IF(AND(E14&gt;6000,E14&lt;=6999),5%,IF(AND(E14&gt;7000,E14&lt;=7999),8%,IF(AND(E14&gt;8000,E14&lt;=8999),10%,IF(AND(E14&gt;9000,E14&lt;=9999),12%,15%)))))</f>
        <v>0.08</v>
      </c>
      <c r="N14" s="90"/>
    </row>
    <row r="15" spans="1:16" ht="29.25" customHeight="1">
      <c r="A15" s="258" t="s">
        <v>285</v>
      </c>
      <c r="B15" s="259"/>
      <c r="C15" s="260"/>
      <c r="D15" s="260"/>
      <c r="E15" s="259"/>
      <c r="F15" s="259"/>
      <c r="H15" s="89"/>
      <c r="I15" s="275" t="s">
        <v>280</v>
      </c>
      <c r="J15" s="276" t="s">
        <v>674</v>
      </c>
      <c r="K15" s="261"/>
      <c r="L15" s="104"/>
      <c r="M15" s="104"/>
      <c r="N15" s="90"/>
    </row>
    <row r="16" spans="1:16">
      <c r="A16" s="113"/>
      <c r="B16" s="89"/>
      <c r="C16" s="89"/>
      <c r="D16" s="89"/>
      <c r="E16" s="89"/>
      <c r="F16" s="89"/>
      <c r="H16" s="89"/>
      <c r="I16" s="268"/>
      <c r="J16" s="277"/>
      <c r="K16" s="261"/>
      <c r="L16" s="104"/>
      <c r="M16" s="104"/>
      <c r="N16" s="90"/>
    </row>
    <row r="17" spans="1:14" ht="16.5" customHeight="1">
      <c r="A17" s="269" t="s">
        <v>286</v>
      </c>
      <c r="B17" s="270"/>
      <c r="C17" s="270"/>
      <c r="D17" s="270"/>
      <c r="E17" s="271"/>
      <c r="F17" s="114"/>
      <c r="H17" s="89"/>
      <c r="I17" s="268"/>
      <c r="J17" s="277"/>
      <c r="K17" s="261"/>
      <c r="L17" s="104"/>
      <c r="M17" s="104"/>
      <c r="N17" s="90"/>
    </row>
    <row r="18" spans="1:14" ht="12.65" customHeight="1">
      <c r="I18" s="268"/>
      <c r="J18" s="277"/>
      <c r="K18" s="261"/>
    </row>
    <row r="19" spans="1:14" ht="12.65" customHeight="1">
      <c r="I19" s="268"/>
      <c r="J19" s="277"/>
      <c r="K19" s="261"/>
    </row>
  </sheetData>
  <mergeCells count="4">
    <mergeCell ref="A7:F7"/>
    <mergeCell ref="I15:I19"/>
    <mergeCell ref="J15:J19"/>
    <mergeCell ref="A17:E17"/>
  </mergeCells>
  <pageMargins left="0.75" right="0.75" top="1" bottom="1" header="0.5" footer="0.5"/>
  <pageSetup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8E9A-40A4-43DC-A5F0-4D3E846D8AD2}">
  <dimension ref="B2:H42"/>
  <sheetViews>
    <sheetView workbookViewId="0">
      <selection activeCell="B2" sqref="B2"/>
    </sheetView>
  </sheetViews>
  <sheetFormatPr defaultRowHeight="14.5"/>
  <cols>
    <col min="2" max="3" width="9.453125" customWidth="1"/>
    <col min="4" max="4" width="11.453125" customWidth="1"/>
    <col min="5" max="5" width="10.1796875" customWidth="1"/>
    <col min="8" max="8" width="16.54296875" customWidth="1"/>
  </cols>
  <sheetData>
    <row r="2" spans="2:8">
      <c r="B2" t="s">
        <v>675</v>
      </c>
      <c r="C2" t="s">
        <v>25</v>
      </c>
      <c r="D2" t="s">
        <v>499</v>
      </c>
      <c r="E2" t="s">
        <v>318</v>
      </c>
      <c r="F2" t="s">
        <v>474</v>
      </c>
      <c r="G2" t="s">
        <v>475</v>
      </c>
      <c r="H2" t="s">
        <v>476</v>
      </c>
    </row>
    <row r="3" spans="2:8">
      <c r="B3" t="s">
        <v>676</v>
      </c>
      <c r="C3" t="s">
        <v>506</v>
      </c>
      <c r="D3">
        <v>2851</v>
      </c>
      <c r="E3">
        <v>14255</v>
      </c>
      <c r="F3">
        <v>5702</v>
      </c>
      <c r="G3">
        <v>8553</v>
      </c>
      <c r="H3" s="56">
        <v>43952</v>
      </c>
    </row>
    <row r="4" spans="2:8">
      <c r="B4" t="s">
        <v>676</v>
      </c>
      <c r="C4" t="s">
        <v>506</v>
      </c>
      <c r="D4">
        <v>2535</v>
      </c>
      <c r="E4">
        <v>12675</v>
      </c>
      <c r="F4">
        <v>5070</v>
      </c>
      <c r="G4">
        <v>7605</v>
      </c>
      <c r="H4" s="56">
        <v>43922</v>
      </c>
    </row>
    <row r="5" spans="2:8">
      <c r="B5" t="s">
        <v>676</v>
      </c>
      <c r="C5" t="s">
        <v>506</v>
      </c>
      <c r="D5">
        <v>260</v>
      </c>
      <c r="E5">
        <v>1300</v>
      </c>
      <c r="F5">
        <v>520</v>
      </c>
      <c r="G5">
        <v>780</v>
      </c>
      <c r="H5" s="56">
        <v>43862</v>
      </c>
    </row>
    <row r="6" spans="2:8">
      <c r="B6" t="s">
        <v>676</v>
      </c>
      <c r="C6" t="s">
        <v>506</v>
      </c>
      <c r="D6">
        <v>571</v>
      </c>
      <c r="E6">
        <v>2855</v>
      </c>
      <c r="F6">
        <v>1142</v>
      </c>
      <c r="G6">
        <v>1713</v>
      </c>
      <c r="H6" s="56">
        <v>44013</v>
      </c>
    </row>
    <row r="7" spans="2:8">
      <c r="B7" t="s">
        <v>676</v>
      </c>
      <c r="C7" t="s">
        <v>506</v>
      </c>
      <c r="D7">
        <v>1233</v>
      </c>
      <c r="E7">
        <v>6165</v>
      </c>
      <c r="F7">
        <v>2466</v>
      </c>
      <c r="G7">
        <v>3699</v>
      </c>
      <c r="H7" s="56">
        <v>44166</v>
      </c>
    </row>
    <row r="8" spans="2:8">
      <c r="B8" t="s">
        <v>676</v>
      </c>
      <c r="C8" t="s">
        <v>506</v>
      </c>
      <c r="D8">
        <v>1197</v>
      </c>
      <c r="E8">
        <v>5985</v>
      </c>
      <c r="F8">
        <v>2394</v>
      </c>
      <c r="G8">
        <v>3591</v>
      </c>
      <c r="H8" s="56">
        <v>44136</v>
      </c>
    </row>
    <row r="9" spans="2:8">
      <c r="B9" t="s">
        <v>676</v>
      </c>
      <c r="C9" t="s">
        <v>506</v>
      </c>
      <c r="D9">
        <v>2150</v>
      </c>
      <c r="E9">
        <v>10750</v>
      </c>
      <c r="F9">
        <v>4300</v>
      </c>
      <c r="G9">
        <v>6450</v>
      </c>
      <c r="H9" s="56">
        <v>44136</v>
      </c>
    </row>
    <row r="10" spans="2:8">
      <c r="B10" t="s">
        <v>676</v>
      </c>
      <c r="C10" t="s">
        <v>506</v>
      </c>
      <c r="D10">
        <v>905</v>
      </c>
      <c r="E10">
        <v>4525</v>
      </c>
      <c r="F10">
        <v>1810</v>
      </c>
      <c r="G10">
        <v>2715</v>
      </c>
      <c r="H10" s="56">
        <v>44105</v>
      </c>
    </row>
    <row r="11" spans="2:8">
      <c r="B11" t="s">
        <v>676</v>
      </c>
      <c r="C11" t="s">
        <v>506</v>
      </c>
      <c r="D11">
        <v>2156</v>
      </c>
      <c r="E11">
        <v>10780</v>
      </c>
      <c r="F11">
        <v>4312</v>
      </c>
      <c r="G11">
        <v>6468</v>
      </c>
      <c r="H11" s="56">
        <v>44105</v>
      </c>
    </row>
    <row r="12" spans="2:8">
      <c r="B12" t="s">
        <v>676</v>
      </c>
      <c r="C12" t="s">
        <v>506</v>
      </c>
      <c r="D12">
        <v>886</v>
      </c>
      <c r="E12">
        <v>4430</v>
      </c>
      <c r="F12">
        <v>1772</v>
      </c>
      <c r="G12">
        <v>2658</v>
      </c>
      <c r="H12" s="56">
        <v>43983</v>
      </c>
    </row>
    <row r="13" spans="2:8">
      <c r="B13" t="s">
        <v>676</v>
      </c>
      <c r="C13" t="s">
        <v>506</v>
      </c>
      <c r="D13">
        <v>1984</v>
      </c>
      <c r="E13">
        <v>9920</v>
      </c>
      <c r="F13">
        <v>3968</v>
      </c>
      <c r="G13">
        <v>5952</v>
      </c>
      <c r="H13" s="56">
        <v>44044</v>
      </c>
    </row>
    <row r="14" spans="2:8">
      <c r="B14" t="s">
        <v>676</v>
      </c>
      <c r="C14" t="s">
        <v>506</v>
      </c>
      <c r="D14">
        <v>1122</v>
      </c>
      <c r="E14">
        <v>5610</v>
      </c>
      <c r="F14">
        <v>2244</v>
      </c>
      <c r="G14">
        <v>3366</v>
      </c>
      <c r="H14" s="56">
        <v>43891</v>
      </c>
    </row>
    <row r="15" spans="2:8">
      <c r="B15" t="s">
        <v>676</v>
      </c>
      <c r="C15" t="s">
        <v>506</v>
      </c>
      <c r="D15">
        <v>591</v>
      </c>
      <c r="E15">
        <v>2955</v>
      </c>
      <c r="F15">
        <v>1182</v>
      </c>
      <c r="G15">
        <v>1773</v>
      </c>
      <c r="H15" s="56">
        <v>43952</v>
      </c>
    </row>
    <row r="16" spans="2:8">
      <c r="B16" t="s">
        <v>676</v>
      </c>
      <c r="C16" t="s">
        <v>506</v>
      </c>
      <c r="D16">
        <v>1038</v>
      </c>
      <c r="E16">
        <v>5190</v>
      </c>
      <c r="F16">
        <v>2076</v>
      </c>
      <c r="G16">
        <v>3114</v>
      </c>
      <c r="H16" s="56">
        <v>43983</v>
      </c>
    </row>
    <row r="17" spans="2:8">
      <c r="B17" t="s">
        <v>676</v>
      </c>
      <c r="C17" t="s">
        <v>506</v>
      </c>
      <c r="D17">
        <v>2417</v>
      </c>
      <c r="E17">
        <v>12085</v>
      </c>
      <c r="F17">
        <v>4834</v>
      </c>
      <c r="G17">
        <v>7251</v>
      </c>
      <c r="H17" s="56">
        <v>43831</v>
      </c>
    </row>
    <row r="18" spans="2:8">
      <c r="B18" t="s">
        <v>676</v>
      </c>
      <c r="C18" t="s">
        <v>506</v>
      </c>
      <c r="D18">
        <v>2565</v>
      </c>
      <c r="E18">
        <v>12825</v>
      </c>
      <c r="F18">
        <v>5130</v>
      </c>
      <c r="G18">
        <v>7695</v>
      </c>
      <c r="H18" s="56">
        <v>43831</v>
      </c>
    </row>
    <row r="19" spans="2:8">
      <c r="B19" t="s">
        <v>676</v>
      </c>
      <c r="C19" t="s">
        <v>506</v>
      </c>
      <c r="D19">
        <v>1362</v>
      </c>
      <c r="E19">
        <v>6810</v>
      </c>
      <c r="F19">
        <v>2724</v>
      </c>
      <c r="G19">
        <v>4086</v>
      </c>
      <c r="H19" s="56">
        <v>44166</v>
      </c>
    </row>
    <row r="20" spans="2:8">
      <c r="B20" t="s">
        <v>676</v>
      </c>
      <c r="C20" t="s">
        <v>506</v>
      </c>
      <c r="D20">
        <v>2993</v>
      </c>
      <c r="E20">
        <v>14965</v>
      </c>
      <c r="F20">
        <v>5986</v>
      </c>
      <c r="G20">
        <v>8979</v>
      </c>
      <c r="H20" s="56">
        <v>44075</v>
      </c>
    </row>
    <row r="21" spans="2:8">
      <c r="B21" t="s">
        <v>676</v>
      </c>
      <c r="C21" t="s">
        <v>506</v>
      </c>
      <c r="D21">
        <v>2460</v>
      </c>
      <c r="E21">
        <v>12300</v>
      </c>
      <c r="F21">
        <v>4920</v>
      </c>
      <c r="G21">
        <v>7380</v>
      </c>
      <c r="H21" s="56">
        <v>43983</v>
      </c>
    </row>
    <row r="22" spans="2:8">
      <c r="B22" t="s">
        <v>676</v>
      </c>
      <c r="C22" t="s">
        <v>506</v>
      </c>
      <c r="D22">
        <v>1114</v>
      </c>
      <c r="E22">
        <v>5570</v>
      </c>
      <c r="F22">
        <v>2228</v>
      </c>
      <c r="G22">
        <v>3342</v>
      </c>
      <c r="H22" s="56">
        <v>43891</v>
      </c>
    </row>
    <row r="23" spans="2:8">
      <c r="B23" t="s">
        <v>676</v>
      </c>
      <c r="C23" t="s">
        <v>506</v>
      </c>
      <c r="D23">
        <v>1607</v>
      </c>
      <c r="E23">
        <v>8035</v>
      </c>
      <c r="F23">
        <v>3214</v>
      </c>
      <c r="G23">
        <v>4821</v>
      </c>
      <c r="H23" s="56">
        <v>43922</v>
      </c>
    </row>
    <row r="24" spans="2:8">
      <c r="B24" t="s">
        <v>676</v>
      </c>
      <c r="C24" t="s">
        <v>506</v>
      </c>
      <c r="D24">
        <v>2689</v>
      </c>
      <c r="E24">
        <v>13445</v>
      </c>
      <c r="F24">
        <v>5378</v>
      </c>
      <c r="G24">
        <v>8067</v>
      </c>
      <c r="H24" s="56">
        <v>44105</v>
      </c>
    </row>
    <row r="25" spans="2:8">
      <c r="B25" t="s">
        <v>676</v>
      </c>
      <c r="C25" t="s">
        <v>506</v>
      </c>
      <c r="D25">
        <v>1138</v>
      </c>
      <c r="E25">
        <v>5690</v>
      </c>
      <c r="F25">
        <v>2276</v>
      </c>
      <c r="G25">
        <v>3414</v>
      </c>
      <c r="H25" s="56">
        <v>44166</v>
      </c>
    </row>
    <row r="26" spans="2:8">
      <c r="B26" t="s">
        <v>676</v>
      </c>
      <c r="C26" t="s">
        <v>506</v>
      </c>
      <c r="D26">
        <v>2031</v>
      </c>
      <c r="E26">
        <v>10155</v>
      </c>
      <c r="F26">
        <v>4062</v>
      </c>
      <c r="G26">
        <v>6093</v>
      </c>
      <c r="H26" s="56">
        <v>44105</v>
      </c>
    </row>
    <row r="27" spans="2:8">
      <c r="B27" t="s">
        <v>676</v>
      </c>
      <c r="C27" t="s">
        <v>506</v>
      </c>
      <c r="D27">
        <v>1084</v>
      </c>
      <c r="E27">
        <v>5420</v>
      </c>
      <c r="F27">
        <v>2168</v>
      </c>
      <c r="G27">
        <v>3252</v>
      </c>
      <c r="H27" s="56">
        <v>44166</v>
      </c>
    </row>
    <row r="28" spans="2:8">
      <c r="B28" t="s">
        <v>676</v>
      </c>
      <c r="C28" t="s">
        <v>506</v>
      </c>
      <c r="D28">
        <v>662</v>
      </c>
      <c r="E28">
        <v>3310</v>
      </c>
      <c r="F28">
        <v>1324</v>
      </c>
      <c r="G28">
        <v>1986</v>
      </c>
      <c r="H28" s="56">
        <v>43983</v>
      </c>
    </row>
    <row r="29" spans="2:8">
      <c r="B29" t="s">
        <v>676</v>
      </c>
      <c r="C29" t="s">
        <v>506</v>
      </c>
      <c r="D29">
        <v>1823</v>
      </c>
      <c r="E29">
        <v>9115</v>
      </c>
      <c r="F29">
        <v>3646</v>
      </c>
      <c r="G29">
        <v>5469</v>
      </c>
      <c r="H29" s="56">
        <v>44013</v>
      </c>
    </row>
    <row r="30" spans="2:8">
      <c r="B30" t="s">
        <v>676</v>
      </c>
      <c r="C30" t="s">
        <v>506</v>
      </c>
      <c r="D30">
        <v>2472</v>
      </c>
      <c r="E30">
        <v>12360</v>
      </c>
      <c r="F30">
        <v>4944</v>
      </c>
      <c r="G30">
        <v>7416</v>
      </c>
      <c r="H30" s="56">
        <v>44075</v>
      </c>
    </row>
    <row r="31" spans="2:8">
      <c r="B31" t="s">
        <v>676</v>
      </c>
      <c r="C31" t="s">
        <v>506</v>
      </c>
      <c r="D31">
        <v>883</v>
      </c>
      <c r="E31">
        <v>4415</v>
      </c>
      <c r="F31">
        <v>1766</v>
      </c>
      <c r="G31">
        <v>2649</v>
      </c>
      <c r="H31" s="56">
        <v>44044</v>
      </c>
    </row>
    <row r="32" spans="2:8">
      <c r="B32" t="s">
        <v>676</v>
      </c>
      <c r="C32" t="s">
        <v>506</v>
      </c>
      <c r="D32">
        <v>974</v>
      </c>
      <c r="E32">
        <v>4870</v>
      </c>
      <c r="F32">
        <v>1948</v>
      </c>
      <c r="G32">
        <v>2922</v>
      </c>
      <c r="H32" s="56">
        <v>43862</v>
      </c>
    </row>
    <row r="33" spans="2:8">
      <c r="B33" t="s">
        <v>676</v>
      </c>
      <c r="C33" t="s">
        <v>506</v>
      </c>
      <c r="D33">
        <v>2151</v>
      </c>
      <c r="E33">
        <v>10755</v>
      </c>
      <c r="F33">
        <v>4302</v>
      </c>
      <c r="G33">
        <v>6453</v>
      </c>
      <c r="H33" s="56">
        <v>43770</v>
      </c>
    </row>
    <row r="34" spans="2:8">
      <c r="B34" t="s">
        <v>676</v>
      </c>
      <c r="C34" t="s">
        <v>506</v>
      </c>
      <c r="D34">
        <v>380</v>
      </c>
      <c r="E34">
        <v>1900</v>
      </c>
      <c r="F34">
        <v>760</v>
      </c>
      <c r="G34">
        <v>1140</v>
      </c>
      <c r="H34" s="56">
        <v>43800</v>
      </c>
    </row>
    <row r="35" spans="2:8">
      <c r="B35" t="s">
        <v>676</v>
      </c>
      <c r="C35" t="s">
        <v>506</v>
      </c>
      <c r="D35">
        <v>1715</v>
      </c>
      <c r="E35">
        <v>8575</v>
      </c>
      <c r="F35">
        <v>3430</v>
      </c>
      <c r="G35">
        <v>5145</v>
      </c>
      <c r="H35" s="56">
        <v>43739</v>
      </c>
    </row>
    <row r="36" spans="2:8">
      <c r="B36" t="s">
        <v>676</v>
      </c>
      <c r="C36" t="s">
        <v>506</v>
      </c>
      <c r="D36">
        <v>367</v>
      </c>
      <c r="E36">
        <v>1835</v>
      </c>
      <c r="F36">
        <v>734</v>
      </c>
      <c r="G36">
        <v>1101</v>
      </c>
      <c r="H36" s="56">
        <v>43739</v>
      </c>
    </row>
    <row r="37" spans="2:8">
      <c r="B37" t="s">
        <v>676</v>
      </c>
      <c r="C37" t="s">
        <v>506</v>
      </c>
      <c r="D37">
        <v>1946</v>
      </c>
      <c r="E37">
        <v>9730</v>
      </c>
      <c r="F37">
        <v>3892</v>
      </c>
      <c r="G37">
        <v>5838</v>
      </c>
      <c r="H37" s="56">
        <v>43800</v>
      </c>
    </row>
    <row r="38" spans="2:8">
      <c r="B38" t="s">
        <v>676</v>
      </c>
      <c r="C38" t="s">
        <v>506</v>
      </c>
      <c r="D38">
        <v>2763</v>
      </c>
      <c r="E38">
        <v>13815</v>
      </c>
      <c r="F38">
        <v>5526</v>
      </c>
      <c r="G38">
        <v>8289</v>
      </c>
      <c r="H38" s="56">
        <v>43770</v>
      </c>
    </row>
    <row r="39" spans="2:8">
      <c r="B39" t="s">
        <v>676</v>
      </c>
      <c r="C39" t="s">
        <v>506</v>
      </c>
      <c r="D39">
        <v>1514</v>
      </c>
      <c r="E39">
        <v>7570</v>
      </c>
      <c r="F39">
        <v>3028</v>
      </c>
      <c r="G39">
        <v>4542</v>
      </c>
      <c r="H39" s="56">
        <v>43739</v>
      </c>
    </row>
    <row r="40" spans="2:8">
      <c r="B40" t="s">
        <v>676</v>
      </c>
      <c r="C40" t="s">
        <v>506</v>
      </c>
      <c r="D40">
        <v>1760</v>
      </c>
      <c r="E40">
        <v>8800</v>
      </c>
      <c r="F40">
        <v>3520</v>
      </c>
      <c r="G40">
        <v>5280</v>
      </c>
      <c r="H40" s="56">
        <v>43709</v>
      </c>
    </row>
    <row r="41" spans="2:8">
      <c r="B41" t="s">
        <v>676</v>
      </c>
      <c r="C41" t="s">
        <v>506</v>
      </c>
      <c r="D41">
        <v>2145</v>
      </c>
      <c r="E41">
        <v>10725</v>
      </c>
      <c r="F41">
        <v>4290</v>
      </c>
      <c r="G41">
        <v>6435</v>
      </c>
      <c r="H41" s="56">
        <v>43739</v>
      </c>
    </row>
    <row r="42" spans="2:8">
      <c r="B42" t="s">
        <v>676</v>
      </c>
      <c r="C42" t="s">
        <v>506</v>
      </c>
      <c r="D42">
        <v>788</v>
      </c>
      <c r="E42">
        <v>3940</v>
      </c>
      <c r="F42">
        <v>1576</v>
      </c>
      <c r="G42">
        <v>2364</v>
      </c>
      <c r="H42" s="56">
        <v>43709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0459-F503-4B87-9D67-8E621356E5AB}">
  <dimension ref="A1:Q2"/>
  <sheetViews>
    <sheetView showGridLines="0" zoomScale="60" zoomScaleNormal="60" workbookViewId="0"/>
  </sheetViews>
  <sheetFormatPr defaultRowHeight="14.5"/>
  <sheetData>
    <row r="1" spans="1:17" ht="46">
      <c r="A1" s="262" t="s">
        <v>677</v>
      </c>
      <c r="B1" s="263"/>
      <c r="C1" s="263"/>
      <c r="D1" s="263"/>
      <c r="E1" s="263"/>
      <c r="F1" s="263"/>
      <c r="G1" s="263"/>
      <c r="H1" s="263"/>
      <c r="I1" s="263"/>
      <c r="J1" s="263"/>
      <c r="K1" s="263"/>
      <c r="L1" s="263"/>
      <c r="M1" s="263"/>
      <c r="N1" s="263"/>
      <c r="O1" s="263"/>
      <c r="P1" s="263"/>
      <c r="Q1" s="263"/>
    </row>
    <row r="2" spans="1:17">
      <c r="A2" s="263"/>
      <c r="B2" s="263"/>
      <c r="C2" s="263"/>
      <c r="D2" s="263"/>
      <c r="E2" s="263"/>
      <c r="F2" s="263"/>
      <c r="G2" s="263"/>
      <c r="H2" s="263"/>
      <c r="I2" s="263"/>
      <c r="J2" s="263"/>
      <c r="K2" s="263"/>
      <c r="L2" s="263"/>
      <c r="M2" s="263"/>
      <c r="N2" s="263"/>
      <c r="O2" s="263"/>
      <c r="P2" s="263"/>
      <c r="Q2" s="26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Data Entry</vt:lpstr>
      <vt:lpstr>Shortcut Keys</vt:lpstr>
      <vt:lpstr>Advanced_Filter</vt:lpstr>
      <vt:lpstr>Paste Special</vt:lpstr>
      <vt:lpstr>Custome sort</vt:lpstr>
      <vt:lpstr>Freezing</vt:lpstr>
      <vt:lpstr>Trim</vt:lpstr>
      <vt:lpstr>Quick Navigation</vt:lpstr>
      <vt:lpstr>Data formatting</vt:lpstr>
      <vt:lpstr>Data cleaning</vt:lpstr>
      <vt:lpstr>Count</vt:lpstr>
      <vt:lpstr>IF Function</vt:lpstr>
      <vt:lpstr>SUMIF Function</vt:lpstr>
      <vt:lpstr>Sum-Count</vt:lpstr>
      <vt:lpstr>LEFT RIGHT MID Functions</vt:lpstr>
      <vt:lpstr>Textjoin textsplit</vt:lpstr>
      <vt:lpstr>Data list for Dashboard</vt:lpstr>
      <vt:lpstr>Sales Data Pivote</vt:lpstr>
      <vt:lpstr>Array</vt:lpstr>
      <vt:lpstr>ArrayForConversion</vt:lpstr>
      <vt:lpstr>Current Rates</vt:lpstr>
      <vt:lpstr>SecondaryAxis</vt:lpstr>
      <vt:lpstr>Xlookup Emp List</vt:lpstr>
      <vt:lpstr>XLOOKUP</vt:lpstr>
      <vt:lpstr>Date Function</vt:lpstr>
      <vt:lpstr>Advanced IF</vt:lpstr>
      <vt:lpstr>Dashboard data</vt:lpstr>
      <vt:lpstr>Dashboard</vt:lpstr>
      <vt:lpstr>Advanced_Filter!Criteria</vt:lpstr>
      <vt:lpstr>'Custome sort'!Criteria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Pratik Naigaonkar</dc:creator>
  <cp:keywords/>
  <dc:description/>
  <cp:lastModifiedBy>Pratik Naigaonkar</cp:lastModifiedBy>
  <cp:revision/>
  <dcterms:created xsi:type="dcterms:W3CDTF">2024-06-08T02:35:13Z</dcterms:created>
  <dcterms:modified xsi:type="dcterms:W3CDTF">2025-08-07T13:39:46Z</dcterms:modified>
  <cp:category/>
  <cp:contentStatus/>
</cp:coreProperties>
</file>